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267e612b2a437b" /></Relationships>
</file>

<file path=xl/workbook.xml><?xml version="1.0" encoding="utf-8"?>
<x:workbook xmlns:x="http://schemas.openxmlformats.org/spreadsheetml/2006/main">
  <x:sheets>
    <x:sheet xmlns:r="http://schemas.openxmlformats.org/officeDocument/2006/relationships" name="Start" sheetId="1" r:id="R2dcb59e409324e2a"/>
    <x:sheet xmlns:r="http://schemas.openxmlformats.org/officeDocument/2006/relationships" name="Funding" sheetId="2" r:id="R404b0386e1104516"/>
    <x:sheet xmlns:r="http://schemas.openxmlformats.org/officeDocument/2006/relationships" name="Rewards" sheetId="3" r:id="R23d56680955f4a83"/>
    <x:sheet xmlns:r="http://schemas.openxmlformats.org/officeDocument/2006/relationships" name="Costs" sheetId="4" r:id="R28107c2559974f33"/>
    <x:sheet xmlns:r="http://schemas.openxmlformats.org/officeDocument/2006/relationships" name="Shipping" sheetId="5" r:id="R219a6bb7d9a042bb"/>
    <x:sheet xmlns:r="http://schemas.openxmlformats.org/officeDocument/2006/relationships" name="Cash" sheetId="6" r:id="R75662420518e4dc0"/>
    <x:sheet xmlns:r="http://schemas.openxmlformats.org/officeDocument/2006/relationships" name="Launch plan" sheetId="7" r:id="R1bded3e8ab8448ca"/>
    <x:sheet xmlns:r="http://schemas.openxmlformats.org/officeDocument/2006/relationships" name="Ad tests" sheetId="8" r:id="Rca5ba974c3c64436"/>
    <x:sheet xmlns:r="http://schemas.openxmlformats.org/officeDocument/2006/relationships" name="Sources" sheetId="9" r:id="Rd023de4d701b4ec0"/>
    <x:sheet xmlns:r="http://schemas.openxmlformats.org/officeDocument/2006/relationships" name="Reviewers" sheetId="10" r:id="R7e57e7caa26841bc"/>
    <x:sheet xmlns:r="http://schemas.openxmlformats.org/officeDocument/2006/relationships" name="Live ops" sheetId="11" r:id="R7eafdd2c6c664ba8"/>
    <x:sheet xmlns:r="http://schemas.openxmlformats.org/officeDocument/2006/relationships" name="Production" sheetId="12" r:id="R0879d20660a4419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d-mmm-yyyy"/>
    <x:numFmt numFmtId="201" formatCode="0.0%"/>
    <x:numFmt numFmtId="202" formatCode="#,##0.00;(#,##0.00);&quot;-&quot;"/>
    <x:numFmt numFmtId="203" formatCode="#,##0"/>
    <x:numFmt numFmtId="204" formatCode="0.0"/>
  </x:numFmts>
  <x:fonts count="12">
    <x:font>
      <x:sz val="11"/>
      <x:name val="Carlito"/>
    </x:font>
    <x:font>
      <x:sz val="11"/>
      <x:name val="Arial"/>
    </x:font>
    <x:font>
      <x:sz val="10"/>
      <x:name val="Arial"/>
    </x:font>
    <x:font>
      <x:sz val="10"/>
      <x:color rgb="FFFFFFFF"/>
      <x:name val="Arial"/>
    </x:font>
    <x:font>
      <x:b/>
      <x:sz val="10"/>
      <x:color rgb="FFFFFFFF"/>
      <x:name val="Arial"/>
    </x:font>
    <x:font>
      <x:b/>
      <x:sz val="16"/>
      <x:color rgb="FFFFFFFF"/>
      <x:name val="Arial"/>
    </x:font>
    <x:font>
      <x:sz val="10"/>
      <x:color rgb="FF667570"/>
      <x:name val="Arial"/>
    </x:font>
    <x:font>
      <x:sz val="10"/>
      <x:color rgb="FF1758A8"/>
      <x:name val="Arial"/>
    </x:font>
    <x:font>
      <x:sz val="10"/>
      <x:color rgb="FF000000"/>
      <x:name val="Arial"/>
    </x:font>
    <x:font>
      <x:sz val="10"/>
      <x:color rgb="FF22734D"/>
      <x:name val="Arial"/>
    </x:font>
    <x:font>
      <x:b/>
      <x:sz val="10"/>
      <x:name val="Arial"/>
    </x:font>
    <x:font>
      <x:b/>
      <x:sz val="10"/>
      <x:color rgb="FF000000"/>
      <x:name val="Arial"/>
    </x:font>
  </x:fonts>
  <x:fills count="7">
    <x:fill>
      <x:patternFill patternType="none"/>
    </x:fill>
    <x:fill>
      <x:patternFill patternType="gray125"/>
    </x:fill>
    <x:fill>
      <x:patternFill patternType="solid">
        <x:fgColor rgb="FF18282D"/>
      </x:patternFill>
    </x:fill>
    <x:fill>
      <x:patternFill patternType="solid">
        <x:fgColor rgb="FFEAF2FF"/>
      </x:patternFill>
    </x:fill>
    <x:fill>
      <x:patternFill patternType="solid">
        <x:fgColor rgb="FF165B55"/>
      </x:patternFill>
    </x:fill>
    <x:fill>
      <x:patternFill patternType="solid">
        <x:fgColor rgb="FFF5F7F5"/>
      </x:patternFill>
    </x:fill>
    <x:fill>
      <x:patternFill patternType="solid">
        <x:fgColor rgb="FFEDF4F0"/>
      </x:patternFill>
    </x:fill>
  </x:fills>
  <x:borders count="10">
    <x:border>
      <x:left/>
      <x:right/>
      <x:top/>
      <x:bottom/>
      <x:diagonal/>
    </x:border>
    <x:border>
      <x:left/>
      <x:right style="thin">
        <x:color rgb="FFD9E2DC"/>
      </x:right>
      <x:top/>
      <x:bottom style="thin">
        <x:color rgb="FFD9E2DC"/>
      </x:bottom>
      <x:diagonal/>
    </x:border>
    <x:border>
      <x:left style="thin">
        <x:color rgb="FFD9E2DC"/>
      </x:left>
      <x:right style="thin">
        <x:color rgb="FFD9E2DC"/>
      </x:right>
      <x:top/>
      <x:bottom style="thin">
        <x:color rgb="FFD9E2DC"/>
      </x:bottom>
      <x:diagonal/>
    </x:border>
    <x:border>
      <x:left style="thin">
        <x:color rgb="FFD9E2DC"/>
      </x:left>
      <x:right/>
      <x:top/>
      <x:bottom style="thin">
        <x:color rgb="FFD9E2DC"/>
      </x:bottom>
      <x:diagonal/>
    </x:border>
    <x:border>
      <x:left/>
      <x:right style="thin">
        <x:color rgb="FFD9E2DC"/>
      </x:right>
      <x:top style="thin">
        <x:color rgb="FFD9E2DC"/>
      </x:top>
      <x:bottom style="thin">
        <x:color rgb="FFD9E2DC"/>
      </x:bottom>
      <x:diagonal/>
    </x:border>
    <x:border>
      <x:left style="thin">
        <x:color rgb="FFD9E2DC"/>
      </x:left>
      <x:right style="thin">
        <x:color rgb="FFD9E2DC"/>
      </x:right>
      <x:top style="thin">
        <x:color rgb="FFD9E2DC"/>
      </x:top>
      <x:bottom style="thin">
        <x:color rgb="FFD9E2DC"/>
      </x:bottom>
      <x:diagonal/>
    </x:border>
    <x:border>
      <x:left style="thin">
        <x:color rgb="FFD9E2DC"/>
      </x:left>
      <x:right/>
      <x:top style="thin">
        <x:color rgb="FFD9E2DC"/>
      </x:top>
      <x:bottom style="thin">
        <x:color rgb="FFD9E2DC"/>
      </x:bottom>
      <x:diagonal/>
    </x:border>
    <x:border>
      <x:left/>
      <x:right style="thin">
        <x:color rgb="FFD9E2DC"/>
      </x:right>
      <x:top style="thin">
        <x:color rgb="FFD9E2DC"/>
      </x:top>
      <x:bottom/>
      <x:diagonal/>
    </x:border>
    <x:border>
      <x:left style="thin">
        <x:color rgb="FFD9E2DC"/>
      </x:left>
      <x:right style="thin">
        <x:color rgb="FFD9E2DC"/>
      </x:right>
      <x:top style="thin">
        <x:color rgb="FFD9E2DC"/>
      </x:top>
      <x:bottom/>
      <x:diagonal/>
    </x:border>
    <x:border>
      <x:left style="thin">
        <x:color rgb="FFD9E2DC"/>
      </x:left>
      <x:right/>
      <x:top style="thin">
        <x:color rgb="FFD9E2DC"/>
      </x:top>
      <x:bottom/>
      <x:diagonal/>
    </x:border>
  </x:borders>
  <x:cellStyleXfs count="1">
    <x:xf numFmtId="0" fontId="0" fillId="0" borderId="0"/>
  </x:cellStyleXfs>
  <x:cellXfs count="132">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2"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200" fontId="7" fillId="3" borderId="0" xfId="0" applyNumberFormat="1" applyFont="1" applyFill="1" applyBorder="1" applyAlignment="1">
      <x:alignment vertical="center"/>
    </x:xf>
    <x:xf numFmtId="201" fontId="7" fillId="3" borderId="0" xfId="0" applyNumberFormat="1" applyFont="1" applyFill="1" applyBorder="1" applyAlignment="1">
      <x:alignment vertical="center"/>
    </x:xf>
    <x:xf numFmtId="0" fontId="8" fillId="0" borderId="0" xfId="0" applyNumberFormat="1" applyFont="1" applyFill="1" applyBorder="1" applyAlignment="1">
      <x:alignment vertical="center"/>
    </x:xf>
    <x:xf numFmtId="201" fontId="8" fillId="0" borderId="0" xfId="0" applyNumberFormat="1" applyFont="1" applyFill="1" applyBorder="1" applyAlignment="1">
      <x:alignment vertical="center"/>
    </x:xf>
    <x:xf numFmtId="202" fontId="7" fillId="3" borderId="0" xfId="0" applyNumberFormat="1" applyFont="1" applyFill="1" applyBorder="1" applyAlignment="1">
      <x:alignment vertical="center"/>
    </x:xf>
    <x:xf numFmtId="0" fontId="9" fillId="0" borderId="0" xfId="0" applyNumberFormat="1" applyFont="1" applyFill="1" applyBorder="1" applyAlignment="1">
      <x:alignment vertical="center"/>
    </x:xf>
    <x:xf numFmtId="0" fontId="2"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4" fillId="4"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2" fillId="0" borderId="2" xfId="0" applyNumberFormat="1" applyFont="1" applyFill="1" applyBorder="1" applyAlignment="1">
      <x:alignment vertical="center" wrapText="1"/>
    </x:xf>
    <x:xf numFmtId="0" fontId="2" fillId="0" borderId="3" xfId="0" applyNumberFormat="1" applyFont="1" applyFill="1" applyBorder="1" applyAlignment="1">
      <x:alignment vertical="center" wrapText="1"/>
    </x:xf>
    <x:xf numFmtId="0" fontId="2" fillId="0"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xf numFmtId="0" fontId="2" fillId="0" borderId="7" xfId="0" applyNumberFormat="1" applyFont="1" applyFill="1" applyBorder="1" applyAlignment="1">
      <x:alignment vertical="center" wrapText="1"/>
    </x:xf>
    <x:xf numFmtId="0" fontId="2" fillId="0" borderId="8" xfId="0" applyNumberFormat="1" applyFont="1" applyFill="1" applyBorder="1" applyAlignment="1">
      <x:alignment vertical="center" wrapText="1"/>
    </x:xf>
    <x:xf numFmtId="0" fontId="2" fillId="0" borderId="9" xfId="0" applyNumberFormat="1" applyFont="1" applyFill="1" applyBorder="1" applyAlignment="1">
      <x:alignment vertical="center" wrapText="1"/>
    </x:xf>
    <x:xf numFmtId="0" fontId="2" fillId="5" borderId="4" xfId="0" applyNumberFormat="1" applyFont="1" applyFill="1" applyBorder="1" applyAlignment="1">
      <x:alignment vertical="center" wrapText="1"/>
    </x:xf>
    <x:xf numFmtId="0" fontId="2" fillId="5" borderId="5" xfId="0" applyNumberFormat="1" applyFont="1" applyFill="1" applyBorder="1" applyAlignment="1">
      <x:alignment vertical="center" wrapText="1"/>
    </x:xf>
    <x:xf numFmtId="0" fontId="2" fillId="5" borderId="6"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8" xfId="0" applyNumberFormat="1" applyFont="1" applyFill="1" applyBorder="1" applyAlignment="1">
      <x:alignment vertical="center" wrapText="1"/>
    </x:xf>
    <x:xf numFmtId="0" fontId="7" fillId="3" borderId="2" xfId="0" applyNumberFormat="1" applyFont="1" applyFill="1" applyBorder="1" applyAlignment="1">
      <x:alignment vertical="center" wrapText="1"/>
    </x:xf>
    <x:xf numFmtId="0" fontId="7" fillId="3" borderId="5" xfId="0" applyNumberFormat="1" applyFont="1" applyFill="1" applyBorder="1" applyAlignment="1">
      <x:alignment vertical="center" wrapText="1"/>
    </x:xf>
    <x:xf numFmtId="0" fontId="7" fillId="3" borderId="8" xfId="0" applyNumberFormat="1" applyFont="1" applyFill="1" applyBorder="1" applyAlignment="1">
      <x:alignment vertical="center" wrapText="1"/>
    </x:xf>
    <x:xf numFmtId="202" fontId="7" fillId="3" borderId="2" xfId="0" applyNumberFormat="1" applyFont="1" applyFill="1" applyBorder="1" applyAlignment="1">
      <x:alignment vertical="center" wrapText="1"/>
    </x:xf>
    <x:xf numFmtId="202" fontId="7" fillId="3" borderId="5" xfId="0" applyNumberFormat="1" applyFont="1" applyFill="1" applyBorder="1" applyAlignment="1">
      <x:alignment vertical="center" wrapText="1"/>
    </x:xf>
    <x:xf numFmtId="202" fontId="7" fillId="3" borderId="8" xfId="0" applyNumberFormat="1" applyFont="1" applyFill="1" applyBorder="1" applyAlignment="1">
      <x:alignment vertical="center" wrapText="1"/>
    </x:xf>
    <x:xf numFmtId="202" fontId="8" fillId="0" borderId="0" xfId="0" applyNumberFormat="1" applyFont="1" applyFill="1" applyBorder="1" applyAlignment="1">
      <x:alignment vertical="center"/>
    </x:xf>
    <x:xf numFmtId="0" fontId="2" fillId="5" borderId="7" xfId="0" applyNumberFormat="1" applyFont="1" applyFill="1" applyBorder="1" applyAlignment="1">
      <x:alignment vertical="center" wrapText="1"/>
    </x:xf>
    <x:xf numFmtId="0" fontId="2" fillId="5" borderId="8" xfId="0" applyNumberFormat="1" applyFont="1" applyFill="1" applyBorder="1" applyAlignment="1">
      <x:alignment vertical="center" wrapText="1"/>
    </x:xf>
    <x:xf numFmtId="0" fontId="2" fillId="5" borderId="9"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7" xfId="0" applyNumberFormat="1" applyFont="1" applyFill="1" applyBorder="1" applyAlignment="1">
      <x:alignment vertical="center" wrapText="1"/>
    </x:xf>
    <x:xf numFmtId="0" fontId="2" fillId="3" borderId="9" xfId="0" applyNumberFormat="1" applyFont="1" applyFill="1" applyBorder="1" applyAlignment="1">
      <x:alignment vertical="center" wrapText="1"/>
    </x:xf>
    <x:xf numFmtId="0" fontId="7" fillId="3" borderId="1" xfId="0" applyNumberFormat="1" applyFont="1" applyFill="1" applyBorder="1" applyAlignment="1">
      <x:alignment vertical="center" wrapText="1"/>
    </x:xf>
    <x:xf numFmtId="0" fontId="7" fillId="3" borderId="3" xfId="0" applyNumberFormat="1" applyFont="1" applyFill="1" applyBorder="1" applyAlignment="1">
      <x:alignment vertical="center" wrapText="1"/>
    </x:xf>
    <x:xf numFmtId="0" fontId="7" fillId="3" borderId="7" xfId="0" applyNumberFormat="1" applyFont="1" applyFill="1" applyBorder="1" applyAlignment="1">
      <x:alignment vertical="center" wrapText="1"/>
    </x:xf>
    <x:xf numFmtId="0" fontId="7" fillId="3" borderId="9"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7" fillId="3" borderId="6" xfId="0" applyNumberFormat="1" applyFont="1" applyFill="1" applyBorder="1" applyAlignment="1">
      <x:alignment vertical="center" wrapText="1"/>
    </x:xf>
    <x:xf numFmtId="0" fontId="8" fillId="0" borderId="2" xfId="0" applyNumberFormat="1" applyFont="1" applyFill="1" applyBorder="1" applyAlignment="1">
      <x:alignment vertical="center" wrapText="1"/>
    </x:xf>
    <x:xf numFmtId="0" fontId="8" fillId="5" borderId="5"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0" fontId="8" fillId="0" borderId="8" xfId="0" applyNumberFormat="1" applyFont="1" applyFill="1" applyBorder="1" applyAlignment="1">
      <x:alignment vertical="center" wrapText="1"/>
    </x:xf>
    <x:xf numFmtId="201" fontId="7" fillId="3" borderId="2" xfId="0" applyNumberFormat="1" applyFont="1" applyFill="1" applyBorder="1" applyAlignment="1">
      <x:alignment vertical="center" wrapText="1"/>
    </x:xf>
    <x:xf numFmtId="201" fontId="7" fillId="3" borderId="5" xfId="0" applyNumberFormat="1" applyFont="1" applyFill="1" applyBorder="1" applyAlignment="1">
      <x:alignment vertical="center" wrapText="1"/>
    </x:xf>
    <x:xf numFmtId="201" fontId="7" fillId="3" borderId="8" xfId="0" applyNumberFormat="1" applyFont="1" applyFill="1" applyBorder="1" applyAlignment="1">
      <x:alignment vertical="center" wrapText="1"/>
    </x:xf>
    <x:xf numFmtId="202" fontId="8" fillId="0" borderId="2" xfId="0" applyNumberFormat="1" applyFont="1" applyFill="1" applyBorder="1" applyAlignment="1">
      <x:alignment vertical="center" wrapText="1"/>
    </x:xf>
    <x:xf numFmtId="202" fontId="8" fillId="5" borderId="5" xfId="0" applyNumberFormat="1" applyFont="1" applyFill="1" applyBorder="1" applyAlignment="1">
      <x:alignment vertical="center" wrapText="1"/>
    </x:xf>
    <x:xf numFmtId="202" fontId="8" fillId="0" borderId="5" xfId="0" applyNumberFormat="1" applyFont="1" applyFill="1" applyBorder="1" applyAlignment="1">
      <x:alignment vertical="center" wrapText="1"/>
    </x:xf>
    <x:xf numFmtId="202" fontId="8" fillId="0" borderId="8" xfId="0" applyNumberFormat="1" applyFont="1" applyFill="1" applyBorder="1" applyAlignment="1">
      <x:alignment vertical="center" wrapText="1"/>
    </x:xf>
    <x:xf numFmtId="202" fontId="2" fillId="0" borderId="0" xfId="0" applyNumberFormat="1" applyFont="1" applyFill="1" applyBorder="1" applyAlignment="1">
      <x:alignment vertical="center"/>
    </x:xf>
    <x:xf numFmtId="0" fontId="2" fillId="3" borderId="4" xfId="0" applyNumberFormat="1" applyFont="1" applyFill="1" applyBorder="1" applyAlignment="1">
      <x:alignment vertical="center" wrapText="1"/>
    </x:xf>
    <x:xf numFmtId="0" fontId="7" fillId="3" borderId="4" xfId="0" applyNumberFormat="1" applyFont="1" applyFill="1" applyBorder="1" applyAlignment="1">
      <x:alignment vertical="center" wrapText="1"/>
    </x:xf>
    <x:xf numFmtId="202" fontId="2" fillId="0" borderId="2" xfId="0" applyNumberFormat="1" applyFont="1" applyFill="1" applyBorder="1" applyAlignment="1">
      <x:alignment vertical="center" wrapText="1"/>
    </x:xf>
    <x:xf numFmtId="202" fontId="2" fillId="0" borderId="3" xfId="0" applyNumberFormat="1" applyFont="1" applyFill="1" applyBorder="1" applyAlignment="1">
      <x:alignment vertical="center" wrapText="1"/>
    </x:xf>
    <x:xf numFmtId="202" fontId="2" fillId="5" borderId="5" xfId="0" applyNumberFormat="1" applyFont="1" applyFill="1" applyBorder="1" applyAlignment="1">
      <x:alignment vertical="center" wrapText="1"/>
    </x:xf>
    <x:xf numFmtId="202" fontId="2" fillId="5" borderId="6" xfId="0" applyNumberFormat="1" applyFont="1" applyFill="1" applyBorder="1" applyAlignment="1">
      <x:alignment vertical="center" wrapText="1"/>
    </x:xf>
    <x:xf numFmtId="202" fontId="2" fillId="0" borderId="8" xfId="0" applyNumberFormat="1" applyFont="1" applyFill="1" applyBorder="1" applyAlignment="1">
      <x:alignment vertical="center" wrapText="1"/>
    </x:xf>
    <x:xf numFmtId="202" fontId="2" fillId="0" borderId="9" xfId="0" applyNumberFormat="1" applyFont="1" applyFill="1" applyBorder="1" applyAlignment="1">
      <x:alignment vertical="center" wrapText="1"/>
    </x:xf>
    <x:xf numFmtId="202" fontId="9" fillId="0" borderId="2" xfId="0" applyNumberFormat="1" applyFont="1" applyFill="1" applyBorder="1" applyAlignment="1">
      <x:alignment vertical="center" wrapText="1"/>
    </x:xf>
    <x:xf numFmtId="202" fontId="8" fillId="0" borderId="3" xfId="0" applyNumberFormat="1" applyFont="1" applyFill="1" applyBorder="1" applyAlignment="1">
      <x:alignment vertical="center" wrapText="1"/>
    </x:xf>
    <x:xf numFmtId="202" fontId="9" fillId="5" borderId="5" xfId="0" applyNumberFormat="1" applyFont="1" applyFill="1" applyBorder="1" applyAlignment="1">
      <x:alignment vertical="center" wrapText="1"/>
    </x:xf>
    <x:xf numFmtId="202" fontId="8" fillId="5" borderId="6" xfId="0" applyNumberFormat="1" applyFont="1" applyFill="1" applyBorder="1" applyAlignment="1">
      <x:alignment vertical="center" wrapText="1"/>
    </x:xf>
    <x:xf numFmtId="202" fontId="9" fillId="0" borderId="8" xfId="0" applyNumberFormat="1" applyFont="1" applyFill="1" applyBorder="1" applyAlignment="1">
      <x:alignment vertical="center" wrapText="1"/>
    </x:xf>
    <x:xf numFmtId="202" fontId="8" fillId="0" borderId="9" xfId="0" applyNumberFormat="1" applyFont="1" applyFill="1" applyBorder="1" applyAlignment="1">
      <x:alignment vertical="center" wrapText="1"/>
    </x:xf>
    <x:xf numFmtId="201" fontId="9" fillId="0" borderId="2" xfId="0" applyNumberFormat="1" applyFont="1" applyFill="1" applyBorder="1" applyAlignment="1">
      <x:alignment vertical="center" wrapText="1"/>
    </x:xf>
    <x:xf numFmtId="201" fontId="9" fillId="5" borderId="5" xfId="0" applyNumberFormat="1" applyFont="1" applyFill="1" applyBorder="1" applyAlignment="1">
      <x:alignment vertical="center" wrapText="1"/>
    </x:xf>
    <x:xf numFmtId="201" fontId="9" fillId="0" borderId="8"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9" fillId="0" borderId="2" xfId="0" applyNumberFormat="1" applyFont="1" applyFill="1" applyBorder="1" applyAlignment="1">
      <x:alignment vertical="center" wrapText="1"/>
    </x:xf>
    <x:xf numFmtId="0" fontId="9" fillId="0" borderId="3" xfId="0" applyNumberFormat="1" applyFont="1" applyFill="1" applyBorder="1" applyAlignment="1">
      <x:alignment vertical="center" wrapText="1"/>
    </x:xf>
    <x:xf numFmtId="0" fontId="9" fillId="5" borderId="4" xfId="0" applyNumberFormat="1" applyFont="1" applyFill="1" applyBorder="1" applyAlignment="1">
      <x:alignment vertical="center" wrapText="1"/>
    </x:xf>
    <x:xf numFmtId="0" fontId="9" fillId="5" borderId="5" xfId="0" applyNumberFormat="1" applyFont="1" applyFill="1" applyBorder="1" applyAlignment="1">
      <x:alignment vertical="center" wrapText="1"/>
    </x:xf>
    <x:xf numFmtId="0" fontId="9" fillId="5" borderId="6" xfId="0" applyNumberFormat="1" applyFont="1" applyFill="1" applyBorder="1" applyAlignment="1">
      <x:alignment vertical="center" wrapText="1"/>
    </x:xf>
    <x:xf numFmtId="0" fontId="9" fillId="0" borderId="7" xfId="0" applyNumberFormat="1" applyFont="1" applyFill="1" applyBorder="1" applyAlignment="1">
      <x:alignment vertical="center" wrapText="1"/>
    </x:xf>
    <x:xf numFmtId="0" fontId="9" fillId="0" borderId="8" xfId="0" applyNumberFormat="1" applyFont="1" applyFill="1" applyBorder="1" applyAlignment="1">
      <x:alignment vertical="center" wrapText="1"/>
    </x:xf>
    <x:xf numFmtId="0" fontId="9" fillId="0" borderId="9" xfId="0" applyNumberFormat="1" applyFont="1" applyFill="1" applyBorder="1" applyAlignment="1">
      <x:alignment vertical="center" wrapText="1"/>
    </x:xf>
    <x:xf numFmtId="202" fontId="9" fillId="0" borderId="3" xfId="0" applyNumberFormat="1" applyFont="1" applyFill="1" applyBorder="1" applyAlignment="1">
      <x:alignment vertical="center" wrapText="1"/>
    </x:xf>
    <x:xf numFmtId="202" fontId="9" fillId="5" borderId="6" xfId="0" applyNumberFormat="1" applyFont="1" applyFill="1" applyBorder="1" applyAlignment="1">
      <x:alignment vertical="center" wrapText="1"/>
    </x:xf>
    <x:xf numFmtId="202" fontId="9" fillId="0" borderId="9" xfId="0" applyNumberFormat="1" applyFont="1" applyFill="1" applyBorder="1" applyAlignment="1">
      <x:alignment vertical="center" wrapText="1"/>
    </x:xf>
    <x:xf numFmtId="203" fontId="9" fillId="0" borderId="2" xfId="0" applyNumberFormat="1" applyFont="1" applyFill="1" applyBorder="1" applyAlignment="1">
      <x:alignment vertical="center" wrapText="1"/>
    </x:xf>
    <x:xf numFmtId="203" fontId="9" fillId="5" borderId="5" xfId="0" applyNumberFormat="1" applyFont="1" applyFill="1" applyBorder="1" applyAlignment="1">
      <x:alignment vertical="center" wrapText="1"/>
    </x:xf>
    <x:xf numFmtId="203" fontId="9" fillId="0" borderId="8" xfId="0" applyNumberFormat="1" applyFont="1" applyFill="1" applyBorder="1" applyAlignment="1">
      <x:alignment vertical="center" wrapText="1"/>
    </x:xf>
    <x:xf numFmtId="203" fontId="2" fillId="0" borderId="0" xfId="0" applyNumberFormat="1" applyFont="1" applyFill="1" applyBorder="1" applyAlignment="1">
      <x:alignment vertical="center"/>
    </x:xf>
    <x:xf numFmtId="203" fontId="8" fillId="0" borderId="0" xfId="0" applyNumberFormat="1" applyFont="1" applyFill="1" applyBorder="1" applyAlignment="1">
      <x:alignment vertical="center"/>
    </x:xf>
    <x:xf numFmtId="204" fontId="9" fillId="0" borderId="2" xfId="0" applyNumberFormat="1" applyFont="1" applyFill="1" applyBorder="1" applyAlignment="1">
      <x:alignment vertical="center" wrapText="1"/>
    </x:xf>
    <x:xf numFmtId="204" fontId="9" fillId="5" borderId="5" xfId="0" applyNumberFormat="1" applyFont="1" applyFill="1" applyBorder="1" applyAlignment="1">
      <x:alignment vertical="center" wrapText="1"/>
    </x:xf>
    <x:xf numFmtId="204" fontId="9" fillId="0" borderId="8" xfId="0" applyNumberFormat="1" applyFont="1" applyFill="1" applyBorder="1" applyAlignment="1">
      <x:alignment vertical="center" wrapText="1"/>
    </x:xf>
    <x:xf numFmtId="204" fontId="2" fillId="0" borderId="0" xfId="0" applyNumberFormat="1" applyFont="1" applyFill="1" applyBorder="1" applyAlignment="1">
      <x:alignment vertical="center"/>
    </x:xf>
    <x:xf numFmtId="204" fontId="8" fillId="0" borderId="0" xfId="0" applyNumberFormat="1" applyFont="1" applyFill="1" applyBorder="1" applyAlignment="1">
      <x:alignment vertical="center"/>
    </x:xf>
    <x:xf numFmtId="202" fontId="9" fillId="0" borderId="0" xfId="0" applyNumberFormat="1" applyFont="1" applyFill="1" applyBorder="1" applyAlignment="1">
      <x:alignment vertical="center"/>
    </x:xf>
    <x:xf numFmtId="0" fontId="9" fillId="0" borderId="0" xfId="0" applyNumberFormat="1" applyFont="1" applyFill="1" applyBorder="1" applyAlignment="1">
      <x:alignment vertical="center" wrapText="1"/>
    </x:xf>
    <x:xf numFmtId="0" fontId="2" fillId="6" borderId="0" xfId="0" applyNumberFormat="1" applyFont="1" applyFill="1" applyBorder="1" applyAlignment="1">
      <x:alignment vertical="center"/>
    </x:xf>
    <x:xf numFmtId="202" fontId="8" fillId="6" borderId="0" xfId="0" applyNumberFormat="1" applyFont="1" applyFill="1" applyBorder="1" applyAlignment="1">
      <x:alignment vertical="center"/>
    </x:xf>
    <x:xf numFmtId="0" fontId="10" fillId="6" borderId="0" xfId="0" applyNumberFormat="1" applyFont="1" applyFill="1" applyBorder="1" applyAlignment="1">
      <x:alignment vertical="center"/>
    </x:xf>
    <x:xf numFmtId="202" fontId="11" fillId="6" borderId="0" xfId="0" applyNumberFormat="1" applyFont="1" applyFill="1" applyBorder="1" applyAlignment="1">
      <x:alignment vertical="center"/>
    </x:xf>
    <x:xf numFmtId="0" fontId="9" fillId="0" borderId="4" xfId="0" applyNumberFormat="1" applyFont="1" applyFill="1" applyBorder="1" applyAlignment="1">
      <x:alignment vertical="center" wrapText="1"/>
    </x:xf>
    <x:xf numFmtId="0" fontId="9" fillId="0" borderId="5" xfId="0" applyNumberFormat="1" applyFont="1" applyFill="1" applyBorder="1" applyAlignment="1">
      <x:alignment vertical="center" wrapText="1"/>
    </x:xf>
    <x:xf numFmtId="0" fontId="9" fillId="3" borderId="1" xfId="0" applyNumberFormat="1" applyFont="1" applyFill="1" applyBorder="1" applyAlignment="1">
      <x:alignment vertical="center" wrapText="1"/>
    </x:xf>
    <x:xf numFmtId="0" fontId="9" fillId="3" borderId="4" xfId="0" applyNumberFormat="1" applyFont="1" applyFill="1" applyBorder="1" applyAlignment="1">
      <x:alignment vertical="center" wrapText="1"/>
    </x:xf>
    <x:xf numFmtId="0" fontId="9" fillId="3" borderId="7" xfId="0" applyNumberFormat="1" applyFont="1" applyFill="1" applyBorder="1" applyAlignment="1">
      <x:alignment vertical="center" wrapText="1"/>
    </x:xf>
    <x:xf numFmtId="200" fontId="7" fillId="3" borderId="1" xfId="0" applyNumberFormat="1" applyFont="1" applyFill="1" applyBorder="1" applyAlignment="1">
      <x:alignment vertical="center" wrapText="1"/>
    </x:xf>
    <x:xf numFmtId="200" fontId="7" fillId="3" borderId="4" xfId="0" applyNumberFormat="1" applyFont="1" applyFill="1" applyBorder="1" applyAlignment="1">
      <x:alignment vertical="center" wrapText="1"/>
    </x:xf>
    <x:xf numFmtId="200" fontId="7" fillId="3" borderId="7" xfId="0" applyNumberFormat="1" applyFont="1" applyFill="1" applyBorder="1" applyAlignment="1">
      <x:alignment vertical="center" wrapText="1"/>
    </x:xf>
    <x:xf numFmtId="202" fontId="9" fillId="0" borderId="5" xfId="0" applyNumberFormat="1" applyFont="1" applyFill="1" applyBorder="1" applyAlignment="1">
      <x:alignment vertical="center" wrapText="1"/>
    </x:xf>
    <x:xf numFmtId="202" fontId="2" fillId="0" borderId="5" xfId="0" applyNumberFormat="1" applyFont="1" applyFill="1" applyBorder="1" applyAlignment="1">
      <x:alignment vertical="center" wrapText="1"/>
    </x:xf>
    <x:xf numFmtId="0" fontId="9" fillId="5" borderId="8" xfId="0" applyNumberFormat="1" applyFont="1" applyFill="1" applyBorder="1" applyAlignment="1">
      <x:alignment vertical="center" wrapText="1"/>
    </x:xf>
    <x:xf numFmtId="200" fontId="9" fillId="0" borderId="2" xfId="0" applyNumberFormat="1" applyFont="1" applyFill="1" applyBorder="1" applyAlignment="1">
      <x:alignment vertical="center" wrapText="1"/>
    </x:xf>
    <x:xf numFmtId="200" fontId="9" fillId="5" borderId="5" xfId="0" applyNumberFormat="1" applyFont="1" applyFill="1" applyBorder="1" applyAlignment="1">
      <x:alignment vertical="center" wrapText="1"/>
    </x:xf>
    <x:xf numFmtId="200" fontId="9" fillId="0" borderId="5" xfId="0" applyNumberFormat="1" applyFont="1" applyFill="1" applyBorder="1" applyAlignment="1">
      <x:alignment vertical="center" wrapText="1"/>
    </x:xf>
    <x:xf numFmtId="200" fontId="9" fillId="5" borderId="8" xfId="0" applyNumberFormat="1" applyFont="1" applyFill="1" applyBorder="1" applyAlignment="1">
      <x:alignment vertical="center" wrapText="1"/>
    </x:xf>
    <x:xf numFmtId="201" fontId="8" fillId="0" borderId="2" xfId="0" applyNumberFormat="1" applyFont="1" applyFill="1" applyBorder="1" applyAlignment="1">
      <x:alignment vertical="center" wrapText="1"/>
    </x:xf>
    <x:xf numFmtId="201" fontId="8" fillId="5" borderId="5" xfId="0" applyNumberFormat="1" applyFont="1" applyFill="1" applyBorder="1" applyAlignment="1">
      <x:alignment vertical="center" wrapText="1"/>
    </x:xf>
    <x:xf numFmtId="201" fontId="8" fillId="0" borderId="8" xfId="0" applyNumberFormat="1" applyFont="1" applyFill="1" applyBorder="1" applyAlignment="1">
      <x:alignment vertical="center" wrapText="1"/>
    </x:xf>
  </x:cellXfs>
  <x:cellStyles count="1">
    <x:cellStyle name="Normal" xfId="0"/>
  </x:cellStyles>
  <x:dxfs count="4">
    <x:dxf>
      <x:font>
        <x:b/>
        <x:color rgb="FFA62929"/>
      </x:font>
      <x:fill>
        <x:patternFill patternType="solid">
          <x:bgColor rgb="FFFCE7E7"/>
        </x:patternFill>
      </x:fill>
    </x:dxf>
    <x:dxf>
      <x:font>
        <x:b/>
        <x:color rgb="FFA62929"/>
      </x:font>
      <x:fill>
        <x:patternFill patternType="solid">
          <x:bgColor rgb="FFFCE7E7"/>
        </x:patternFill>
      </x:fill>
    </x:dxf>
    <x:dxf>
      <x:font>
        <x:b/>
        <x:color rgb="FFA62929"/>
      </x:font>
      <x:fill>
        <x:patternFill patternType="solid">
          <x:bgColor rgb="FFFCE7E7"/>
        </x:patternFill>
      </x:fill>
    </x:dxf>
    <x:dxf>
      <x:font>
        <x:b/>
        <x:color rgb="FFA62929"/>
      </x:font>
      <x:fill>
        <x:patternFill patternType="solid">
          <x:bgColor rgb="FFFC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8d063744dc4d0c" /><Relationship Type="http://schemas.openxmlformats.org/officeDocument/2006/relationships/theme" Target="/xl/theme/theme1.xml" Id="Rd5e9259a9534461e" /><Relationship Type="http://schemas.openxmlformats.org/officeDocument/2006/relationships/sharedStrings" Target="/xl/sharedStrings.xml" Id="Rd7124e0972454064" /><Relationship Type="http://schemas.openxmlformats.org/officeDocument/2006/relationships/worksheet" Target="/xl/worksheets/sheet1.xml" Id="R2dcb59e409324e2a" /><Relationship Type="http://schemas.openxmlformats.org/officeDocument/2006/relationships/worksheet" Target="/xl/worksheets/sheet2.xml" Id="R404b0386e1104516" /><Relationship Type="http://schemas.openxmlformats.org/officeDocument/2006/relationships/worksheet" Target="/xl/worksheets/sheet3.xml" Id="R23d56680955f4a83" /><Relationship Type="http://schemas.openxmlformats.org/officeDocument/2006/relationships/worksheet" Target="/xl/worksheets/sheet4.xml" Id="R28107c2559974f33" /><Relationship Type="http://schemas.openxmlformats.org/officeDocument/2006/relationships/worksheet" Target="/xl/worksheets/sheet5.xml" Id="R219a6bb7d9a042bb" /><Relationship Type="http://schemas.openxmlformats.org/officeDocument/2006/relationships/worksheet" Target="/xl/worksheets/sheet6.xml" Id="R75662420518e4dc0" /><Relationship Type="http://schemas.openxmlformats.org/officeDocument/2006/relationships/worksheet" Target="/xl/worksheets/sheet7.xml" Id="R1bded3e8ab8448ca" /><Relationship Type="http://schemas.openxmlformats.org/officeDocument/2006/relationships/worksheet" Target="/xl/worksheets/sheet8.xml" Id="Rca5ba974c3c64436" /><Relationship Type="http://schemas.openxmlformats.org/officeDocument/2006/relationships/worksheet" Target="/xl/worksheets/sheet9.xml" Id="Rd023de4d701b4ec0" /><Relationship Type="http://schemas.openxmlformats.org/officeDocument/2006/relationships/worksheet" Target="/xl/worksheets/sheet10.xml" Id="R7e57e7caa26841bc" /><Relationship Type="http://schemas.openxmlformats.org/officeDocument/2006/relationships/worksheet" Target="/xl/worksheets/sheet11.xml" Id="R7eafdd2c6c664ba8" /><Relationship Type="http://schemas.openxmlformats.org/officeDocument/2006/relationships/worksheet" Target="/xl/worksheets/sheet12.xml" Id="R0879d20660a4419e" /></Relationships>
</file>

<file path=xl/tables/table1.xml><?xml version="1.0" encoding="utf-8"?>
<x:table xmlns:x="http://schemas.openxmlformats.org/spreadsheetml/2006/main" id="5" name="FundingRecords7" displayName="FundingRecords7" ref="A7:J10" headerRowCount="1" totalsRowCount="0" totalsRowShown="0">
  <x:autoFilter ref="A7:J10"/>
  <x:tableColumns count="10">
    <x:tableColumn id="1" name="Reward"/>
    <x:tableColumn id="2" name="Pledged backers"/>
    <x:tableColumn id="3" name="Expected collected"/>
    <x:tableColumn id="4" name="Campaign gross"/>
    <x:tableColumn id="5" name="Campaign fees"/>
    <x:tableColumn id="6" name="Other costs"/>
    <x:tableColumn id="7" name="Unit demand"/>
    <x:tableColumn id="8" name="Postage costs"/>
    <x:tableColumn id="9" name="Later shipping gross"/>
    <x:tableColumn id="10" name="Later fees"/>
  </x:tableColumns>
  <x:tableStyleInfo name="TableStyleMedium2" showFirstColumn="0" showLastColumn="0" showRowStripes="1" showColumnStripes="0"/>
</x:table>
</file>

<file path=xl/tables/table2.xml><?xml version="1.0" encoding="utf-8"?>
<x:table xmlns:x="http://schemas.openxmlformats.org/spreadsheetml/2006/main" id="4" name="RewardsRecords7" displayName="RewardsRecords7" ref="A7:M10" headerRowCount="1" totalsRowCount="0" totalsRowShown="0">
  <x:autoFilter ref="A7:M10"/>
  <x:tableColumns count="13">
    <x:tableColumn id="1" name="Reward"/>
    <x:tableColumn id="2" name="Price"/>
    <x:tableColumn id="3" name="Backer mix"/>
    <x:tableColumn id="4" name="Units"/>
    <x:tableColumn id="5" name="Other cost"/>
    <x:tableColumn id="6" name="Postage cost"/>
    <x:tableColumn id="7" name="Shipping now"/>
    <x:tableColumn id="8" name="Proc rate"/>
    <x:tableColumn id="9" name="Fixed fee"/>
    <x:tableColumn id="10" name="Campaign net"/>
    <x:tableColumn id="11" name="Total cost"/>
    <x:tableColumn id="12" name="Later net"/>
    <x:tableColumn id="13" name="Contribution"/>
  </x:tableColumns>
  <x:tableStyleInfo name="TableStyleMedium2" showFirstColumn="0" showLastColumn="0" showRowStripes="1" showColumnStripes="0"/>
</x:table>
</file>

<file path=xl/tables/table3.xml><?xml version="1.0" encoding="utf-8"?>
<x:table xmlns:x="http://schemas.openxmlformats.org/spreadsheetml/2006/main" id="1" name="CostsRecords16" displayName="CostsRecords16" ref="A16:C21" headerRowCount="1" totalsRowCount="0" totalsRowShown="0">
  <x:autoFilter ref="A16:C21"/>
  <x:tableColumns count="3">
    <x:tableColumn id="1" name="Fixed work"/>
    <x:tableColumn id="2" name="Amount"/>
    <x:tableColumn id="3" name="Basis and evidence"/>
  </x:tableColumns>
  <x:tableStyleInfo name="TableStyleMedium2" showFirstColumn="0" showLastColumn="0" showRowStripes="1" showColumnStripes="0"/>
</x:table>
</file>

<file path=xl/tables/table4.xml><?xml version="1.0" encoding="utf-8"?>
<x:table xmlns:x="http://schemas.openxmlformats.org/spreadsheetml/2006/main" id="2" name="CostsRecords26" displayName="CostsRecords26" ref="A26:H28" headerRowCount="1" totalsRowCount="0" totalsRowShown="0">
  <x:autoFilter ref="A26:H28"/>
  <x:tableColumns count="8">
    <x:tableColumn id="1" name="Supplier comparison"/>
    <x:tableColumn id="2" name="Currency"/>
    <x:tableColumn id="3" name="Quote total"/>
    <x:tableColumn id="4" name="Scope"/>
    <x:tableColumn id="5" name="Incoterm"/>
    <x:tableColumn id="6" name="Lead time"/>
    <x:tableColumn id="7" name="Expiry"/>
    <x:tableColumn id="8" name="Next action"/>
  </x:tableColumns>
  <x:tableStyleInfo name="TableStyleMedium2" showFirstColumn="0" showLastColumn="0" showRowStripes="1" showColumnStripes="0"/>
</x:table>
</file>

<file path=xl/tables/table5.xml><?xml version="1.0" encoding="utf-8"?>
<x:table xmlns:x="http://schemas.openxmlformats.org/spreadsheetml/2006/main" id="3" name="ShippingRecords7" displayName="ShippingRecords7" ref="A7:J12" headerRowCount="1" totalsRowCount="0" totalsRowShown="0">
  <x:autoFilter ref="A7:J12"/>
  <x:tableColumns count="10">
    <x:tableColumn id="1" name="Zone"/>
    <x:tableColumn id="2" name="Mix"/>
    <x:tableColumn id="3" name="Postage"/>
    <x:tableColumn id="4" name="Pick and pack"/>
    <x:tableColumn id="5" name="Packaging"/>
    <x:tableColumn id="6" name="Buffer"/>
    <x:tableColumn id="7" name="Cost per backer"/>
    <x:tableColumn id="8" name="Charge"/>
    <x:tableColumn id="9" name="Quote date"/>
    <x:tableColumn id="10" name="Evidence and limits"/>
  </x:tableColumns>
  <x:tableStyleInfo name="TableStyleMedium2" showFirstColumn="0" showLastColumn="0" showRowStripes="1" showColumnStripes="0"/>
</x:table>
</file>

<file path=xl/tables/table6.xml><?xml version="1.0" encoding="utf-8"?>
<x:table xmlns:x="http://schemas.openxmlformats.org/spreadsheetml/2006/main" id="6" name="CashRecords7" displayName="CashRecords7" ref="A7:G18" headerRowCount="1" totalsRowCount="0" totalsRowShown="0">
  <x:autoFilter ref="A7:G18"/>
  <x:tableColumns count="7">
    <x:tableColumn id="1" name="Date"/>
    <x:tableColumn id="2" name="Event"/>
    <x:tableColumn id="3" name="Cash received"/>
    <x:tableColumn id="4" name="Cash paid"/>
    <x:tableColumn id="5" name="Opening cash"/>
    <x:tableColumn id="6" name="Closing cash"/>
    <x:tableColumn id="7" name="Basis"/>
  </x:tableColumns>
  <x:tableStyleInfo name="TableStyleMedium2" showFirstColumn="0" showLastColumn="0" showRowStripes="1" showColumnStripes="0"/>
</x:table>
</file>

<file path=xl/tables/table7.xml><?xml version="1.0" encoding="utf-8"?>
<x:table xmlns:x="http://schemas.openxmlformats.org/spreadsheetml/2006/main" id="7" name="LaunchplanRecords7" displayName="LaunchplanRecords7" ref="A7:I27" headerRowCount="1" totalsRowCount="0" totalsRowShown="0">
  <x:autoFilter ref="A7:I27"/>
  <x:tableColumns count="9">
    <x:tableColumn id="1" name="Task ID"/>
    <x:tableColumn id="2" name="Days from launch"/>
    <x:tableColumn id="3" name="Due date"/>
    <x:tableColumn id="4" name="Workstream"/>
    <x:tableColumn id="5" name="Action"/>
    <x:tableColumn id="6" name="Owner"/>
    <x:tableColumn id="7" name="Depends on"/>
    <x:tableColumn id="8" name="Evidence needed"/>
    <x:tableColumn id="9" name="Status"/>
  </x:tableColumns>
  <x:tableStyleInfo name="TableStyleMedium2" showFirstColumn="0" showLastColumn="0" showRowStripes="1" showColumnStripes="0"/>
</x:table>
</file>

<file path=xl/tables/table8.xml><?xml version="1.0" encoding="utf-8"?>
<x:table xmlns:x="http://schemas.openxmlformats.org/spreadsheetml/2006/main" id="8" name="AdtestsRecords7" displayName="AdtestsRecords7" ref="A7:M10" headerRowCount="1" totalsRowCount="0" totalsRowShown="0">
  <x:autoFilter ref="A7:M10"/>
  <x:tableColumns count="13">
    <x:tableColumn id="1" name="Test ID"/>
    <x:tableColumn id="2" name="Audience and hypothesis"/>
    <x:tableColumn id="3" name="Hook and asset"/>
    <x:tableColumn id="4" name="Spend cap"/>
    <x:tableColumn id="5" name="Spend"/>
    <x:tableColumn id="6" name="Impressions"/>
    <x:tableColumn id="7" name="Clicks"/>
    <x:tableColumn id="8" name="Unique opt ins"/>
    <x:tableColumn id="9" name="Qualified actions"/>
    <x:tableColumn id="10" name="CTR"/>
    <x:tableColumn id="11" name="CPC"/>
    <x:tableColumn id="12" name="CPL"/>
    <x:tableColumn id="13" name="Decision"/>
  </x:tableColumns>
  <x:tableStyleInfo name="TableStyleMedium2" showFirstColumn="0" showLastColumn="0" showRowStripes="1" showColumnStripes="0"/>
</x:table>
</file>

<file path=xl/tables/table9.xml><?xml version="1.0" encoding="utf-8"?>
<x:table xmlns:x="http://schemas.openxmlformats.org/spreadsheetml/2006/main" id="9" name="AdtestsRecords14" displayName="AdtestsRecords14" ref="A14:C18" headerRowCount="1" totalsRowCount="0" totalsRowShown="0">
  <x:autoFilter ref="A14:C18"/>
  <x:tableColumns count="3">
    <x:tableColumn id="1" name="Test planning field"/>
    <x:tableColumn id="2" name="Your input"/>
    <x:tableColumn id="3" name="Example"/>
  </x:tableColumns>
  <x:tableStyleInfo name="TableStyleMedium2" showFirstColumn="0" showLastColumn="0" showRowStripes="1" showColumnStripes="0"/>
</x:table>
</file>

<file path=xl/tables/table10.xml><?xml version="1.0" encoding="utf-8"?>
<x:table xmlns:x="http://schemas.openxmlformats.org/spreadsheetml/2006/main" id="10" name="SourcesRecords7" displayName="SourcesRecords7" ref="A7:J11" headerRowCount="1" totalsRowCount="0" totalsRowShown="0">
  <x:autoFilter ref="A7:J11"/>
  <x:tableColumns count="10">
    <x:tableColumn id="1" name="Source ID"/>
    <x:tableColumn id="2" name="Channel and placement"/>
    <x:tableColumn id="3" name="Destination URL or tag"/>
    <x:tableColumn id="4" name="Date live"/>
    <x:tableColumn id="5" name="Spend"/>
    <x:tableColumn id="6" name="Visits"/>
    <x:tableColumn id="7" name="Opt ins"/>
    <x:tableColumn id="8" name="Pledges"/>
    <x:tableColumn id="9" name="Collected amount"/>
    <x:tableColumn id="10" name="Evidence and period"/>
  </x:tableColumns>
  <x:tableStyleInfo name="TableStyleMedium2" showFirstColumn="0" showLastColumn="0" showRowStripes="1" showColumnStripes="0"/>
</x:table>
</file>

<file path=xl/tables/table11.xml><?xml version="1.0" encoding="utf-8"?>
<x:table xmlns:x="http://schemas.openxmlformats.org/spreadsheetml/2006/main" id="11" name="ReviewersRecords7" displayName="ReviewersRecords7" ref="A7:J9" headerRowCount="1" totalsRowCount="0" totalsRowShown="0">
  <x:autoFilter ref="A7:J9"/>
  <x:tableColumns count="10">
    <x:tableColumn id="1" name="Outlet or person"/>
    <x:tableColumn id="2" name="Relevance evidence"/>
    <x:tableColumn id="3" name="Public contact source"/>
    <x:tableColumn id="4" name="Policy and cost"/>
    <x:tableColumn id="5" name="Prototype and shipping"/>
    <x:tableColumn id="6" name="First contact"/>
    <x:tableColumn id="7" name="Agreed date"/>
    <x:tableColumn id="8" name="Status"/>
    <x:tableColumn id="9" name="Permission and disclosure"/>
    <x:tableColumn id="10" name="Next action"/>
  </x:tableColumns>
  <x:tableStyleInfo name="TableStyleMedium2" showFirstColumn="0" showLastColumn="0" showRowStripes="1" showColumnStripes="0"/>
</x:table>
</file>

<file path=xl/tables/table12.xml><?xml version="1.0" encoding="utf-8"?>
<x:table xmlns:x="http://schemas.openxmlformats.org/spreadsheetml/2006/main" id="12" name="LiveopsRecords7" displayName="LiveopsRecords7" ref="A7:H13" headerRowCount="1" totalsRowCount="0" totalsRowShown="0">
  <x:autoFilter ref="A7:H13"/>
  <x:tableColumns count="8">
    <x:tableColumn id="1" name="Checkpoint"/>
    <x:tableColumn id="2" name="Action"/>
    <x:tableColumn id="3" name="Owner"/>
    <x:tableColumn id="4" name="Evidence"/>
    <x:tableColumn id="5" name="Status"/>
    <x:tableColumn id="6" name="Next check"/>
    <x:tableColumn id="7" name="Audience"/>
    <x:tableColumn id="8" name="Suppression"/>
  </x:tableColumns>
  <x:tableStyleInfo name="TableStyleMedium2" showFirstColumn="0" showLastColumn="0" showRowStripes="1" showColumnStripes="0"/>
</x:table>
</file>

<file path=xl/tables/table13.xml><?xml version="1.0" encoding="utf-8"?>
<x:table xmlns:x="http://schemas.openxmlformats.org/spreadsheetml/2006/main" id="13" name="LiveopsRecords17" displayName="LiveopsRecords17" ref="A17:H19" headerRowCount="1" totalsRowCount="0" totalsRowShown="0">
  <x:autoFilter ref="A17:H19"/>
  <x:tableColumns count="8">
    <x:tableColumn id="1" name="Date and timezone"/>
    <x:tableColumn id="2" name="Issue or question"/>
    <x:tableColumn id="3" name="Severity"/>
    <x:tableColumn id="4" name="Owner"/>
    <x:tableColumn id="5" name="Action"/>
    <x:tableColumn id="6" name="Due"/>
    <x:tableColumn id="7" name="Evidence"/>
    <x:tableColumn id="8" name="State"/>
  </x:tableColumns>
  <x:tableStyleInfo name="TableStyleMedium2" showFirstColumn="0" showLastColumn="0" showRowStripes="1" showColumnStripes="0"/>
</x:table>
</file>

<file path=xl/tables/table14.xml><?xml version="1.0" encoding="utf-8"?>
<x:table xmlns:x="http://schemas.openxmlformats.org/spreadsheetml/2006/main" id="14" name="ProductionRecords7" displayName="ProductionRecords7" ref="A7:I19" headerRowCount="1" totalsRowCount="0" totalsRowShown="0">
  <x:autoFilter ref="A7:I19"/>
  <x:tableColumns count="9">
    <x:tableColumn id="1" name="ID"/>
    <x:tableColumn id="2" name="Workstream"/>
    <x:tableColumn id="3" name="Deliverable"/>
    <x:tableColumn id="4" name="Owner"/>
    <x:tableColumn id="5" name="Acceptance evidence"/>
    <x:tableColumn id="6" name="When"/>
    <x:tableColumn id="7" name="Status"/>
    <x:tableColumn id="8" name="Dependency"/>
    <x:tableColumn id="9" name="Next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681b6bc03e04dc2" /></Relationships>
</file>

<file path=xl/worksheets/_rels/sheet3.xml.rels>&#65279;<?xml version="1.0" encoding="utf-8"?><Relationships xmlns="http://schemas.openxmlformats.org/package/2006/relationships"><Relationship Type="http://schemas.openxmlformats.org/officeDocument/2006/relationships/table" Target="/xl/tables/table2.xml" Id="R235dc62ef5e94554" /></Relationships>
</file>

<file path=xl/worksheets/_rels/sheet4.xml.rels>&#65279;<?xml version="1.0" encoding="utf-8"?><Relationships xmlns="http://schemas.openxmlformats.org/package/2006/relationships"><Relationship Type="http://schemas.openxmlformats.org/officeDocument/2006/relationships/table" Target="/xl/tables/table3.xml" Id="R720c659c095f4910" /><Relationship Type="http://schemas.openxmlformats.org/officeDocument/2006/relationships/table" Target="/xl/tables/table4.xml" Id="R3be8a4458eeb47cb" /></Relationships>
</file>

<file path=xl/worksheets/_rels/sheet5.xml.rels>&#65279;<?xml version="1.0" encoding="utf-8"?><Relationships xmlns="http://schemas.openxmlformats.org/package/2006/relationships"><Relationship Type="http://schemas.openxmlformats.org/officeDocument/2006/relationships/table" Target="/xl/tables/table5.xml" Id="R88d7047d8cb3452a" /></Relationships>
</file>

<file path=xl/worksheets/_rels/sheet6.xml.rels>&#65279;<?xml version="1.0" encoding="utf-8"?><Relationships xmlns="http://schemas.openxmlformats.org/package/2006/relationships"><Relationship Type="http://schemas.openxmlformats.org/officeDocument/2006/relationships/table" Target="/xl/tables/table6.xml" Id="R31493c6990144352" /></Relationships>
</file>

<file path=xl/worksheets/_rels/sheet7.xml.rels>&#65279;<?xml version="1.0" encoding="utf-8"?><Relationships xmlns="http://schemas.openxmlformats.org/package/2006/relationships"><Relationship Type="http://schemas.openxmlformats.org/officeDocument/2006/relationships/table" Target="/xl/tables/table7.xml" Id="Rcd6834079e954e65" /></Relationships>
</file>

<file path=xl/worksheets/_rels/sheet8.xml.rels>&#65279;<?xml version="1.0" encoding="utf-8"?><Relationships xmlns="http://schemas.openxmlformats.org/package/2006/relationships"><Relationship Type="http://schemas.openxmlformats.org/officeDocument/2006/relationships/table" Target="/xl/tables/table8.xml" Id="R8963de9810c84c6d" /><Relationship Type="http://schemas.openxmlformats.org/officeDocument/2006/relationships/table" Target="/xl/tables/table9.xml" Id="R12a0ce7481f04d34" /></Relationships>
</file>

<file path=xl/worksheets/_rels/sheet9.xml.rels>&#65279;<?xml version="1.0" encoding="utf-8"?><Relationships xmlns="http://schemas.openxmlformats.org/package/2006/relationships"><Relationship Type="http://schemas.openxmlformats.org/officeDocument/2006/relationships/table" Target="/xl/tables/table10.xml" Id="R73de108976be41a2" /></Relationships>
</file>

<file path=xl/worksheets/_rels/sheet10.xml.rels>&#65279;<?xml version="1.0" encoding="utf-8"?><Relationships xmlns="http://schemas.openxmlformats.org/package/2006/relationships"><Relationship Type="http://schemas.openxmlformats.org/officeDocument/2006/relationships/table" Target="/xl/tables/table11.xml" Id="Re668f363c3fd46dc" /></Relationships>
</file>

<file path=xl/worksheets/_rels/sheet11.xml.rels>&#65279;<?xml version="1.0" encoding="utf-8"?><Relationships xmlns="http://schemas.openxmlformats.org/package/2006/relationships"><Relationship Type="http://schemas.openxmlformats.org/officeDocument/2006/relationships/table" Target="/xl/tables/table12.xml" Id="Rf7b8a7843e1e45ee" /><Relationship Type="http://schemas.openxmlformats.org/officeDocument/2006/relationships/table" Target="/xl/tables/table13.xml" Id="R8c74461107934488" /></Relationships>
</file>

<file path=xl/worksheets/_rels/sheet12.xml.rels>&#65279;<?xml version="1.0" encoding="utf-8"?><Relationships xmlns="http://schemas.openxmlformats.org/package/2006/relationships"><Relationship Type="http://schemas.openxmlformats.org/officeDocument/2006/relationships/table" Target="/xl/tables/table14.xml" Id="Rdf0737856aa34753" /></Relationships>
</file>

<file path=xl/worksheets/sheet1.xml><?xml version="1.0" encoding="utf-8"?>
<x:worksheet xmlns:x="http://schemas.openxmlformats.org/spreadsheetml/2006/main">
  <x:sheetPr>
    <x:tabColor rgb="FF165B55"/>
  </x:sheetPr>
  <x:sheetViews>
    <x:sheetView showGridLines="0" workbookViewId="0"/>
  </x:sheetViews>
  <x:sheetFormatPr defaultRowHeight="15"/>
  <x:cols>
    <x:col min="1" max="1" width="31" hidden="0" customWidth="1"/>
    <x:col min="2" max="2" width="24" hidden="0" customWidth="1"/>
    <x:col min="3" max="3" width="58" hidden="0" customWidth="1"/>
    <x:col min="4" max="4" width="18" hidden="0" customWidth="1"/>
    <x:col min="5" max="5" width="18" hidden="0" customWidth="1"/>
    <x:col min="6" max="6" width="18" hidden="0" customWidth="1"/>
    <x:col min="7" max="7" width="18" hidden="0" customWidth="1"/>
    <x:col min="8" max="8" width="18" hidden="0" customWidth="1"/>
  </x:cols>
  <x:sheetData>
    <x:row r="1" ht="25" customHeight="1">
      <x:c r="A1" s="7" t="str">
        <x:v>GUILDFRAME  Tabletop Campaign Launch Kit</x:v>
      </x:c>
      <x:c r="B1" s="4"/>
      <x:c r="C1" s="4"/>
      <x:c r="D1" s="4"/>
      <x:c r="E1" s="4"/>
      <x:c r="F1" s="4"/>
      <x:c r="G1" s="4"/>
      <x:c r="H1" s="4"/>
    </x:row>
    <x:row r="2" ht="25" customHeight="1">
      <x:c r="A2" s="4"/>
      <x:c r="B2" s="4"/>
      <x:c r="C2" s="4"/>
      <x:c r="D2" s="4"/>
      <x:c r="E2" s="4"/>
      <x:c r="F2" s="4"/>
      <x:c r="G2" s="4"/>
      <x:c r="H2" s="4"/>
    </x:row>
    <x:row r="3" ht="25" customHeight="1">
      <x:c r="A3" s="9" t="str">
        <x:v>WORKED EXAMPLE  All project details, quotes, costs and results are fictional. Save a copy, replace blue inputs and retain formulas. Amounts use the campaign currency.</x:v>
      </x:c>
      <x:c r="B3" s="9"/>
      <x:c r="C3" s="9"/>
      <x:c r="D3" s="9"/>
      <x:c r="E3" s="9"/>
      <x:c r="F3" s="9"/>
      <x:c r="G3" s="9"/>
      <x:c r="H3" s="9"/>
    </x:row>
    <x:row r="4" ht="25" customHeight="1">
      <x:c r="A4" s="9"/>
      <x:c r="B4" s="9"/>
      <x:c r="C4" s="9"/>
      <x:c r="D4" s="9"/>
      <x:c r="E4" s="9"/>
      <x:c r="F4" s="9"/>
      <x:c r="G4" s="9"/>
      <x:c r="H4" s="9"/>
    </x:row>
    <x:row r="5" ht="30" customHeight="1">
      <x:c r="A5" s="3" t="str">
        <x:v>Project</x:v>
      </x:c>
      <x:c r="B5" s="11" t="str">
        <x:v>Harbor Council</x:v>
      </x:c>
      <x:c r="C5" s="8" t="str">
        <x:v>Replace with your project</x:v>
      </x:c>
      <x:c r="D5" s="3"/>
      <x:c r="E5" s="3"/>
      <x:c r="F5" s="3"/>
      <x:c r="G5" s="3"/>
      <x:c r="H5" s="3"/>
    </x:row>
    <x:row r="6" ht="30" customHeight="1">
      <x:c r="A6" s="3" t="str">
        <x:v>Product type</x:v>
      </x:c>
      <x:c r="B6" s="11" t="str">
        <x:v>Board game</x:v>
      </x:c>
      <x:c r="C6" s="8" t="str">
        <x:v>Physical and digital tiers can coexist</x:v>
      </x:c>
      <x:c r="D6" s="3"/>
      <x:c r="E6" s="3"/>
      <x:c r="F6" s="3"/>
      <x:c r="G6" s="3"/>
      <x:c r="H6" s="3"/>
    </x:row>
    <x:row r="7" ht="30" customHeight="1">
      <x:c r="A7" s="3" t="str">
        <x:v>Launch date</x:v>
      </x:c>
      <x:c r="B7" s="12" t="d">
        <x:v>2027-03-02T00:00:00.000Z</x:v>
      </x:c>
      <x:c r="C7" s="8" t="str">
        <x:v>Change dates in every dependent schedule</x:v>
      </x:c>
      <x:c r="D7" s="3"/>
      <x:c r="E7" s="3"/>
      <x:c r="F7" s="3"/>
      <x:c r="G7" s="3"/>
      <x:c r="H7" s="3"/>
    </x:row>
    <x:row r="8" ht="30" customHeight="1">
      <x:c r="A8" s="3" t="str">
        <x:v>Selected case</x:v>
      </x:c>
      <x:c r="B8" s="11" t="str">
        <x:v>Base</x:v>
      </x:c>
      <x:c r="C8" s="8" t="str">
        <x:v>One selector controls the financial build</x:v>
      </x:c>
      <x:c r="D8" s="3"/>
      <x:c r="E8" s="3" t="str">
        <x:v>Conservative</x:v>
      </x:c>
      <x:c r="F8" s="3" t="str">
        <x:v>Base</x:v>
      </x:c>
      <x:c r="G8" s="3" t="str">
        <x:v>Optimistic</x:v>
      </x:c>
      <x:c r="H8" s="3"/>
    </x:row>
    <x:row r="9" ht="30" customHeight="1">
      <x:c r="A9" s="3" t="str">
        <x:v>Driver</x:v>
      </x:c>
      <x:c r="B9" s="3" t="str">
        <x:v>Active value</x:v>
      </x:c>
      <x:c r="C9" s="8" t="str">
        <x:v>What it means</x:v>
      </x:c>
      <x:c r="D9" s="3" t="str">
        <x:v>Case inputs</x:v>
      </x:c>
      <x:c r="E9" s="3" t="str">
        <x:v>Conservative</x:v>
      </x:c>
      <x:c r="F9" s="3" t="str">
        <x:v>Base</x:v>
      </x:c>
      <x:c r="G9" s="3" t="str">
        <x:v>Optimistic</x:v>
      </x:c>
      <x:c r="H9" s="3"/>
    </x:row>
    <x:row r="10" ht="30" customHeight="1">
      <x:c r="A10" s="3" t="str">
        <x:v>Pledged backers</x:v>
      </x:c>
      <x:c r="B10" s="14" t="n">
        <x:f>INDEX(E10:G10,1,MATCH(B8,E8:G8,0))</x:f>
        <x:v>500</x:v>
      </x:c>
      <x:c r="C10" s="8" t="str">
        <x:v>Whole backer count before failed payments</x:v>
      </x:c>
      <x:c r="D10" s="3" t="str">
        <x:v>Backers</x:v>
      </x:c>
      <x:c r="E10" s="11" t="n">
        <x:v>350</x:v>
      </x:c>
      <x:c r="F10" s="11" t="n">
        <x:v>500</x:v>
      </x:c>
      <x:c r="G10" s="11" t="n">
        <x:v>800</x:v>
      </x:c>
      <x:c r="H10" s="3"/>
    </x:row>
    <x:row r="11" ht="30" customHeight="1">
      <x:c r="A11" s="3" t="str">
        <x:v>Failed payments</x:v>
      </x:c>
      <x:c r="B11" s="15" t="n">
        <x:f>INDEX(E11:G11,1,MATCH(B8,E8:G8,0))</x:f>
        <x:v>0.02</x:v>
      </x:c>
      <x:c r="C11" s="8" t="str">
        <x:v>Expected uncollected share; estimate, not a benchmark</x:v>
      </x:c>
      <x:c r="D11" s="3" t="str">
        <x:v>Failed payments</x:v>
      </x:c>
      <x:c r="E11" s="13" t="n">
        <x:v>0.04</x:v>
      </x:c>
      <x:c r="F11" s="13" t="n">
        <x:v>0.02</x:v>
      </x:c>
      <x:c r="G11" s="13" t="n">
        <x:v>0.01</x:v>
      </x:c>
      <x:c r="H11" s="3"/>
    </x:row>
    <x:row r="12" ht="30" customHeight="1">
      <x:c r="A12" s="3" t="str">
        <x:v>Contingency</x:v>
      </x:c>
      <x:c r="B12" s="15" t="n">
        <x:f>INDEX(E12:G12,1,MATCH(B8,E8:G8,0))</x:f>
        <x:v>0.1</x:v>
      </x:c>
      <x:c r="C12" s="8" t="str">
        <x:v>Applied to fixed, manufacturing, other and postage costs</x:v>
      </x:c>
      <x:c r="D12" s="3" t="str">
        <x:v>Contingency</x:v>
      </x:c>
      <x:c r="E12" s="13" t="n">
        <x:v>0.15</x:v>
      </x:c>
      <x:c r="F12" s="13" t="n">
        <x:v>0.1</x:v>
      </x:c>
      <x:c r="G12" s="13" t="n">
        <x:v>0.1</x:v>
      </x:c>
      <x:c r="H12" s="3"/>
    </x:row>
    <x:row r="13" ht="30" customHeight="1">
      <x:c r="A13" s="3" t="str">
        <x:v>Opening project cash</x:v>
      </x:c>
      <x:c r="B13" s="16" t="n">
        <x:v>2000</x:v>
      </x:c>
      <x:c r="C13" s="8" t="str">
        <x:v>Cash committed and available to this project</x:v>
      </x:c>
      <x:c r="D13" s="3"/>
      <x:c r="E13" s="3"/>
      <x:c r="F13" s="3"/>
      <x:c r="G13" s="3"/>
      <x:c r="H13" s="3"/>
    </x:row>
    <x:row r="14" ht="30" customHeight="1">
      <x:c r="A14" s="3" t="str">
        <x:v>Platform rate</x:v>
      </x:c>
      <x:c r="B14" s="13" t="n">
        <x:v>0.05</x:v>
      </x:c>
      <x:c r="C14" s="8" t="str">
        <x:v>Kickstarter US example; replace for chosen platform</x:v>
      </x:c>
      <x:c r="D14" s="3"/>
      <x:c r="E14" s="3"/>
      <x:c r="F14" s="3"/>
      <x:c r="G14" s="3"/>
      <x:c r="H14" s="3"/>
    </x:row>
    <x:row r="15" ht="30" customHeight="1">
      <x:c r="A15" s="3" t="str">
        <x:v>Processor rate</x:v>
      </x:c>
      <x:c r="B15" s="13" t="n">
        <x:v>0.03</x:v>
      </x:c>
      <x:c r="C15" s="8" t="str">
        <x:v>Kickstarter US standard pledge example</x:v>
      </x:c>
      <x:c r="D15" s="3"/>
      <x:c r="E15" s="3"/>
      <x:c r="F15" s="3"/>
      <x:c r="G15" s="3"/>
      <x:c r="H15" s="3"/>
    </x:row>
    <x:row r="16" ht="30" customHeight="1">
      <x:c r="A16" s="3" t="str">
        <x:v>Processor fixed fee</x:v>
      </x:c>
      <x:c r="B16" s="16" t="n">
        <x:v>0.3</x:v>
      </x:c>
      <x:c r="C16" s="8" t="str">
        <x:v>Per collected pledge, not per item</x:v>
      </x:c>
      <x:c r="D16" s="3" t="str">
        <x:v>INPUT LEGEND</x:v>
      </x:c>
      <x:c r="E16" s="3"/>
      <x:c r="F16" s="3"/>
      <x:c r="G16" s="3"/>
      <x:c r="H16" s="3"/>
    </x:row>
    <x:row r="17" ht="30" customHeight="1">
      <x:c r="A17" s="3" t="str">
        <x:v>Micropledge threshold</x:v>
      </x:c>
      <x:c r="B17" s="11" t="n">
        <x:v>10</x:v>
      </x:c>
      <x:c r="C17" s="8" t="str">
        <x:v>US pledges under this amount use the next two rates</x:v>
      </x:c>
      <x:c r="D17" s="3" t="str">
        <x:v>Blue fill / blue text</x:v>
      </x:c>
      <x:c r="E17" s="3" t="str">
        <x:v>Replace these inputs</x:v>
      </x:c>
      <x:c r="F17" s="3"/>
      <x:c r="G17" s="3"/>
      <x:c r="H17" s="3"/>
    </x:row>
    <x:row r="18" ht="30" customHeight="1">
      <x:c r="A18" s="3" t="str">
        <x:v>Micropledge rate</x:v>
      </x:c>
      <x:c r="B18" s="13" t="n">
        <x:v>0.05</x:v>
      </x:c>
      <x:c r="C18" s="8" t="str">
        <x:v>US processing on pledges below threshold</x:v>
      </x:c>
      <x:c r="D18" s="3" t="str">
        <x:v>Black formulas</x:v>
      </x:c>
      <x:c r="E18" s="3" t="str">
        <x:v>Same tab calculation</x:v>
      </x:c>
      <x:c r="F18" s="3"/>
      <x:c r="G18" s="3"/>
      <x:c r="H18" s="3"/>
    </x:row>
    <x:row r="19" ht="30" customHeight="1">
      <x:c r="A19" s="3" t="str">
        <x:v>Micropledge fixed fee</x:v>
      </x:c>
      <x:c r="B19" s="16" t="n">
        <x:v>0.08</x:v>
      </x:c>
      <x:c r="C19" s="8" t="str">
        <x:v>US fixed processing on pledges below threshold</x:v>
      </x:c>
      <x:c r="D19" s="3" t="str">
        <x:v>Green formulas</x:v>
      </x:c>
      <x:c r="E19" s="3" t="str">
        <x:v>Linked from another tab</x:v>
      </x:c>
      <x:c r="F19" s="3"/>
      <x:c r="G19" s="3"/>
      <x:c r="H19" s="3"/>
    </x:row>
    <x:row r="20" ht="30" customHeight="1">
      <x:c r="A20" s="3" t="str">
        <x:v>Shipping timing</x:v>
      </x:c>
      <x:c r="B20" s="11" t="str">
        <x:v>Later</x:v>
      </x:c>
      <x:c r="C20" s="8" t="str">
        <x:v>At pledge = charged in campaign; Later = separate receipts</x:v>
      </x:c>
      <x:c r="D20" s="3"/>
      <x:c r="E20" s="3"/>
      <x:c r="F20" s="3"/>
      <x:c r="G20" s="3"/>
      <x:c r="H20" s="3"/>
    </x:row>
    <x:row r="21" ht="30" customHeight="1">
      <x:c r="A21" s="3" t="str">
        <x:v>Later collection fee</x:v>
      </x:c>
      <x:c r="B21" s="13" t="n">
        <x:v>0.05</x:v>
      </x:c>
      <x:c r="C21" s="8" t="str">
        <x:v>Illustrative combined later collection percentage, verify provider</x:v>
      </x:c>
      <x:c r="D21" s="8" t="str">
        <x:v>Rates use a Kickstarter US example checked 29 Oct 2026. For Gamefound, replace fees, the small pledge threshold, payout timing and later collection terms. Confirm the actual project setup. See Examples and Sources for both platforms.</x:v>
      </x:c>
      <x:c r="E21" s="8"/>
      <x:c r="F21" s="8"/>
      <x:c r="G21" s="8"/>
      <x:c r="H21" s="8"/>
    </x:row>
    <x:row r="22" ht="30" customHeight="1">
      <x:c r="A22" s="3" t="str">
        <x:v>Later fixed fee</x:v>
      </x:c>
      <x:c r="B22" s="16" t="n">
        <x:v>0.3</x:v>
      </x:c>
      <x:c r="C22" s="8" t="str">
        <x:v>Illustrative additional charge fee per physical backer</x:v>
      </x:c>
      <x:c r="D22" s="8"/>
      <x:c r="E22" s="8"/>
      <x:c r="F22" s="8"/>
      <x:c r="G22" s="8"/>
      <x:c r="H22" s="8"/>
    </x:row>
    <x:row r="23" ht="30" customHeight="1">
      <x:c r="A23" s="3" t="str">
        <x:v>Tax reserve</x:v>
      </x:c>
      <x:c r="B23" s="16" t="n">
        <x:v>0</x:v>
      </x:c>
      <x:c r="C23" s="8" t="str">
        <x:v>Creator funded reserve; obtain your actual tax plan</x:v>
      </x:c>
      <x:c r="D23" s="8"/>
      <x:c r="E23" s="8"/>
      <x:c r="F23" s="8"/>
      <x:c r="G23" s="8"/>
      <x:c r="H23" s="8"/>
    </x:row>
    <x:row r="24" ht="30" customHeight="1">
      <x:c r="A24" s="3" t="str">
        <x:v>Refund reserve</x:v>
      </x:c>
      <x:c r="B24" s="16" t="n">
        <x:v>0</x:v>
      </x:c>
      <x:c r="C24" s="8" t="str">
        <x:v>Additional cash reserve; do not also deduct as failed payments</x:v>
      </x:c>
      <x:c r="D24" s="3"/>
      <x:c r="E24" s="3"/>
      <x:c r="F24" s="3"/>
      <x:c r="G24" s="3"/>
      <x:c r="H24" s="3"/>
    </x:row>
    <x:row r="25" ht="30" customHeight="1">
      <x:c r="A25" s="3" t="str">
        <x:v>Cash payout lag days</x:v>
      </x:c>
      <x:c r="B25" s="11" t="n">
        <x:v>14</x:v>
      </x:c>
      <x:c r="C25" s="8" t="str">
        <x:v>Planning assumption; confirm actual payment timing</x:v>
      </x:c>
      <x:c r="D25" s="8" t="str">
        <x:v>First session: enter costs and a confirmed manufacturing MOQ. Replace reward prices and mix. Set shipping timing and zones. Read Funding, then Cash. If either shows a shortfall, revise before choosing a public goal.</x:v>
      </x:c>
      <x:c r="E25" s="8"/>
      <x:c r="F25" s="8"/>
      <x:c r="G25" s="8"/>
      <x:c r="H25" s="8"/>
    </x:row>
    <x:row r="26" ht="30" customHeight="1">
      <x:c r="A26" s="3" t="str">
        <x:v>Currency</x:v>
      </x:c>
      <x:c r="B26" s="11" t="str">
        <x:v>USD</x:v>
      </x:c>
      <x:c r="C26" s="8" t="str">
        <x:v>All monetary inputs must use this same currency</x:v>
      </x:c>
      <x:c r="D26" s="8"/>
      <x:c r="E26" s="8"/>
      <x:c r="F26" s="8"/>
      <x:c r="G26" s="8"/>
      <x:c r="H26" s="8"/>
    </x:row>
    <x:row r="27" ht="30" customHeight="1">
      <x:c r="A27" s="3" t="str">
        <x:v>Country</x:v>
      </x:c>
      <x:c r="B27" s="11" t="str">
        <x:v>United States</x:v>
      </x:c>
      <x:c r="C27" s="8" t="str">
        <x:v>Fee defaults apply only to Kickstarter US campaigns</x:v>
      </x:c>
      <x:c r="D27" s="8"/>
      <x:c r="E27" s="8"/>
      <x:c r="F27" s="8"/>
      <x:c r="G27" s="8"/>
      <x:c r="H27" s="8"/>
    </x:row>
    <x:row r="28" ht="30" customHeight="1">
      <x:c r="A28" s="3" t="str">
        <x:v>Bank and identity verified</x:v>
      </x:c>
      <x:c r="B28" s="11" t="str">
        <x:v>No</x:v>
      </x:c>
      <x:c r="C28" s="8" t="str">
        <x:v>Unresolved launch prerequisite</x:v>
      </x:c>
      <x:c r="D28" s="8"/>
      <x:c r="E28" s="8"/>
      <x:c r="F28" s="8"/>
      <x:c r="G28" s="8"/>
      <x:c r="H28" s="8"/>
    </x:row>
    <x:row r="29" ht="30" customHeight="1">
      <x:c r="A29" s="3" t="str">
        <x:v>Shipping quotes confirmed</x:v>
      </x:c>
      <x:c r="B29" s="11" t="str">
        <x:v>No</x:v>
      </x:c>
      <x:c r="C29" s="8" t="str">
        <x:v>Demo shipping is illustrative, not a carrier quote</x:v>
      </x:c>
      <x:c r="D29" s="3"/>
      <x:c r="E29" s="3"/>
      <x:c r="F29" s="3"/>
      <x:c r="G29" s="3"/>
      <x:c r="H29" s="3"/>
    </x:row>
    <x:row r="30" ht="30" customHeight="1">
      <x:c r="A30" s="3" t="str">
        <x:v>Production quote confirmed</x:v>
      </x:c>
      <x:c r="B30" s="11" t="str">
        <x:v>No</x:v>
      </x:c>
      <x:c r="C30" s="8" t="str">
        <x:v>Demo costs are illustrative, not a manufacturer quote</x:v>
      </x:c>
      <x:c r="D30" s="3"/>
      <x:c r="E30" s="3"/>
      <x:c r="F30" s="3"/>
      <x:c r="G30" s="3"/>
      <x:c r="H30" s="3"/>
    </x:row>
    <x:row r="31" ht="25" customHeight="1">
      <x:c r="A31" s="3"/>
      <x:c r="B31" s="3"/>
      <x:c r="C31" s="3"/>
      <x:c r="D31" s="3"/>
      <x:c r="E31" s="3"/>
      <x:c r="F31" s="3"/>
      <x:c r="G31" s="3"/>
      <x:c r="H31" s="3"/>
    </x:row>
    <x:row r="32" ht="25" customHeight="1">
      <x:c r="A32" s="3"/>
      <x:c r="B32" s="3"/>
      <x:c r="C32" s="3"/>
      <x:c r="D32" s="3"/>
      <x:c r="E32" s="3"/>
      <x:c r="F32" s="3"/>
      <x:c r="G32" s="3"/>
      <x:c r="H32" s="3"/>
    </x:row>
    <x:row r="33" ht="25" customHeight="1">
      <x:c r="A33" s="3"/>
      <x:c r="B33" s="3"/>
      <x:c r="C33" s="3"/>
      <x:c r="D33" s="3"/>
      <x:c r="E33" s="3"/>
      <x:c r="F33" s="3"/>
      <x:c r="G33" s="3"/>
      <x:c r="H33" s="3"/>
    </x:row>
    <x:row r="34" ht="25" customHeight="1">
      <x:c r="A34" s="3"/>
      <x:c r="B34" s="3"/>
      <x:c r="C34" s="3"/>
      <x:c r="D34" s="3"/>
      <x:c r="E34" s="3"/>
      <x:c r="F34" s="3"/>
      <x:c r="G34" s="3"/>
      <x:c r="H34" s="3"/>
    </x:row>
    <x:row r="35" ht="25" customHeight="1">
      <x:c r="A35" s="3"/>
      <x:c r="B35" s="3"/>
      <x:c r="C35" s="3"/>
      <x:c r="D35" s="3"/>
      <x:c r="E35" s="3"/>
      <x:c r="F35" s="3"/>
      <x:c r="G35" s="3"/>
      <x:c r="H35" s="3"/>
    </x:row>
    <x:row r="36" ht="25" customHeight="1">
      <x:c r="A36" s="3"/>
      <x:c r="B36" s="3"/>
      <x:c r="C36" s="3"/>
      <x:c r="D36" s="3"/>
      <x:c r="E36" s="3"/>
      <x:c r="F36" s="3"/>
      <x:c r="G36" s="3"/>
      <x:c r="H36" s="3"/>
    </x:row>
    <x:row r="37" ht="25" customHeight="1">
      <x:c r="A37" s="8" t="str">
        <x:v>This model plans one manufactured product SKU used by the physical tiers, plus digital rewards. Cost additional SKUs separately before setting a goal. Demand uses all pledged backers conservatively, while cash deducts expected failed payments. No future sales of remaining inventory are counted as cash. Fees assume one collected transaction per pledge. Installments or multiple charges need an expanded fee and cash schedule.</x:v>
      </x:c>
      <x:c r="B37" s="8"/>
      <x:c r="C37" s="8"/>
      <x:c r="D37" s="8"/>
      <x:c r="E37" s="8"/>
      <x:c r="F37" s="8"/>
      <x:c r="G37" s="8"/>
      <x:c r="H37" s="8"/>
    </x:row>
    <x:row r="38" ht="25" customHeight="1">
      <x:c r="A38" s="8"/>
      <x:c r="B38" s="8"/>
      <x:c r="C38" s="8"/>
      <x:c r="D38" s="8"/>
      <x:c r="E38" s="8"/>
      <x:c r="F38" s="8"/>
      <x:c r="G38" s="8"/>
      <x:c r="H38" s="8"/>
    </x:row>
    <x:row r="39" ht="25" customHeight="1">
      <x:c r="A39" s="8"/>
      <x:c r="B39" s="8"/>
      <x:c r="C39" s="8"/>
      <x:c r="D39" s="8"/>
      <x:c r="E39" s="8"/>
      <x:c r="F39" s="8"/>
      <x:c r="G39" s="8"/>
      <x:c r="H39" s="8"/>
    </x:row>
    <x:row r="40" ht="25" customHeight="1">
      <x:c r="A40" s="3"/>
      <x:c r="B40" s="3"/>
      <x:c r="C40" s="3"/>
      <x:c r="D40" s="3"/>
      <x:c r="E40" s="3"/>
      <x:c r="F40" s="3"/>
      <x:c r="G40" s="3"/>
      <x:c r="H40" s="3"/>
    </x:row>
    <x:row r="41" ht="25" customHeight="1">
      <x:c r="A41" s="3"/>
      <x:c r="B41" s="3"/>
      <x:c r="C41" s="3"/>
      <x:c r="D41" s="3"/>
      <x:c r="E41" s="3"/>
      <x:c r="F41" s="3"/>
      <x:c r="G41" s="3"/>
      <x:c r="H41" s="3"/>
    </x:row>
    <x:row r="42" ht="25" customHeight="1">
      <x:c r="A42" s="3"/>
      <x:c r="B42" s="3"/>
      <x:c r="C42" s="3"/>
      <x:c r="D42" s="3"/>
      <x:c r="E42" s="3"/>
      <x:c r="F42" s="3"/>
      <x:c r="G42" s="3"/>
      <x:c r="H42" s="3"/>
    </x:row>
    <x:row r="43" ht="25" customHeight="1">
      <x:c r="A43" s="3"/>
      <x:c r="B43" s="3"/>
      <x:c r="C43" s="3"/>
      <x:c r="D43" s="3"/>
      <x:c r="E43" s="3"/>
      <x:c r="F43" s="3"/>
      <x:c r="G43" s="3"/>
      <x:c r="H43" s="3"/>
    </x:row>
    <x:row r="44" ht="25" customHeight="1">
      <x:c r="A44" s="3"/>
      <x:c r="B44" s="3"/>
      <x:c r="C44" s="3"/>
      <x:c r="D44" s="3"/>
      <x:c r="E44" s="3"/>
      <x:c r="F44" s="3"/>
      <x:c r="G44" s="3"/>
      <x:c r="H44" s="3"/>
    </x:row>
    <x:row r="45" ht="25" customHeight="1">
      <x:c r="A45" s="3"/>
      <x:c r="B45" s="3"/>
      <x:c r="C45" s="3"/>
      <x:c r="D45" s="3"/>
      <x:c r="E45" s="3"/>
      <x:c r="F45" s="3"/>
      <x:c r="G45" s="3"/>
      <x:c r="H45" s="3"/>
    </x:row>
    <x:row r="46" ht="25" customHeight="1">
      <x:c r="A46" s="3"/>
      <x:c r="B46" s="3"/>
      <x:c r="C46" s="3"/>
      <x:c r="D46" s="3"/>
      <x:c r="E46" s="3"/>
      <x:c r="F46" s="3"/>
      <x:c r="G46" s="3"/>
      <x:c r="H46" s="3"/>
    </x:row>
    <x:row r="47" ht="25" customHeight="1">
      <x:c r="A47" s="3"/>
      <x:c r="B47" s="3"/>
      <x:c r="C47" s="3"/>
      <x:c r="D47" s="3"/>
      <x:c r="E47" s="3"/>
      <x:c r="F47" s="3"/>
      <x:c r="G47" s="3"/>
      <x:c r="H47" s="3"/>
    </x:row>
    <x:row r="48" ht="25" customHeight="1">
      <x:c r="A48" s="3"/>
      <x:c r="B48" s="3"/>
      <x:c r="C48" s="3"/>
      <x:c r="D48" s="3"/>
      <x:c r="E48" s="3"/>
      <x:c r="F48" s="3"/>
      <x:c r="G48" s="3"/>
      <x:c r="H48" s="3"/>
    </x:row>
  </x:sheetData>
  <x:mergeCells>
    <x:mergeCell ref="A1:H2"/>
    <x:mergeCell ref="A3:H4"/>
    <x:mergeCell ref="D21:H23"/>
    <x:mergeCell ref="D25:H28"/>
    <x:mergeCell ref="A37:H39"/>
  </x:mergeCells>
  <x:dataValidations count="9">
    <x:dataValidation type="list" sqref="B8">
      <x:formula1>"Conservative,Base,Optimistic"</x:formula1>
    </x:dataValidation>
    <x:dataValidation type="list" sqref="B20">
      <x:formula1>"Later,At pledge,Included"</x:formula1>
    </x:dataValidation>
    <x:dataValidation type="list" sqref="B28:B30">
      <x:formula1>"No,Yes"</x:formula1>
    </x:dataValidation>
    <x:dataValidation type="decimal" operator="between" sqref="B11:B12">
      <x:formula1>0</x:formula1>
      <x:formula2>0.99</x:formula2>
    </x:dataValidation>
    <x:dataValidation type="decimal" operator="between" sqref="B14:B15">
      <x:formula1>0</x:formula1>
      <x:formula2>0.99</x:formula2>
    </x:dataValidation>
    <x:dataValidation type="decimal" operator="between" sqref="B18">
      <x:formula1>0</x:formula1>
      <x:formula2>0.99</x:formula2>
    </x:dataValidation>
    <x:dataValidation type="decimal" operator="between" sqref="B21">
      <x:formula1>0</x:formula1>
      <x:formula2>0.99</x:formula2>
    </x:dataValidation>
    <x:dataValidation type="decimal" operator="between" sqref="E11:G12">
      <x:formula1>0</x:formula1>
      <x:formula2>0.99</x:formula2>
    </x:dataValidation>
    <x:dataValidation type="whole" operator="between" sqref="E10:G10">
      <x:formula1>0</x:formula1>
      <x:formula2>10000000</x:formula2>
    </x:dataValidation>
  </x:dataValidations>
  <x:pageMargins left="0.7" right="0.7" top="0.75" bottom="0.75" header="0.3" footer="0.3"/>
</x:worksheet>
</file>

<file path=xl/worksheets/sheet2.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35" hidden="0" customWidth="1"/>
    <x:col min="2" max="2" width="19" hidden="0" customWidth="1"/>
    <x:col min="3" max="3" width="21" hidden="0" customWidth="1"/>
    <x:col min="4" max="4" width="21" hidden="0" customWidth="1"/>
    <x:col min="5" max="5" width="20" hidden="0" customWidth="1"/>
    <x:col min="6" max="6" width="18" hidden="0" customWidth="1"/>
    <x:col min="7" max="7" width="18" hidden="0" customWidth="1"/>
    <x:col min="8" max="8" width="20" hidden="0" customWidth="1"/>
    <x:col min="9" max="9" width="22" hidden="0" customWidth="1"/>
    <x:col min="10" max="10" width="20" hidden="0" customWidth="1"/>
  </x:cols>
  <x:sheetData>
    <x:row r="1" ht="25" customHeight="1">
      <x:c r="A1" s="7" t="str">
        <x:v>Funding and full order economics</x:v>
      </x:c>
      <x:c r="B1" s="4"/>
      <x:c r="C1" s="4"/>
      <x:c r="D1" s="4"/>
      <x:c r="E1" s="4"/>
      <x:c r="F1" s="4"/>
      <x:c r="G1" s="4"/>
      <x:c r="H1" s="4"/>
      <x:c r="I1" s="4"/>
      <x:c r="J1" s="4"/>
    </x:row>
    <x:row r="2" ht="25" customHeight="1">
      <x:c r="A2" s="4"/>
      <x:c r="B2" s="4"/>
      <x:c r="C2" s="4"/>
      <x:c r="D2" s="4"/>
      <x:c r="E2" s="4"/>
      <x:c r="F2" s="4"/>
      <x:c r="G2" s="4"/>
      <x:c r="H2" s="4"/>
      <x:c r="I2" s="4"/>
      <x:c r="J2" s="4"/>
    </x:row>
    <x:row r="3" ht="25" customHeight="1">
      <x:c r="A3" s="9" t="str">
        <x:v>This is the active scenario, not a recommended public funding goal. Expected failed payments reduce cash. Manufacturing demand conservatively covers every pledged backer.</x:v>
      </x:c>
      <x:c r="B3" s="9"/>
      <x:c r="C3" s="9"/>
      <x:c r="D3" s="9"/>
      <x:c r="E3" s="9"/>
      <x:c r="F3" s="9"/>
      <x:c r="G3" s="9"/>
      <x:c r="H3" s="9"/>
      <x:c r="I3" s="9"/>
      <x:c r="J3" s="9"/>
    </x:row>
    <x:row r="4" ht="25" customHeight="1">
      <x:c r="A4" s="9"/>
      <x:c r="B4" s="9"/>
      <x:c r="C4" s="9"/>
      <x:c r="D4" s="9"/>
      <x:c r="E4" s="9"/>
      <x:c r="F4" s="9"/>
      <x:c r="G4" s="9"/>
      <x:c r="H4" s="9"/>
      <x:c r="I4" s="9"/>
      <x:c r="J4" s="9"/>
    </x:row>
    <x:row r="5" ht="25" customHeight="1">
      <x:c r="A5" s="3" t="str">
        <x:v>Selected case</x:v>
      </x:c>
      <x:c r="B5" s="17" t="str">
        <x:f>Start!B8</x:f>
        <x:v>Base</x:v>
      </x:c>
      <x:c r="C5" s="3"/>
      <x:c r="D5" s="3"/>
      <x:c r="E5" s="3"/>
      <x:c r="F5" s="3"/>
      <x:c r="G5" s="3"/>
      <x:c r="H5" s="3"/>
      <x:c r="I5" s="3"/>
      <x:c r="J5" s="3"/>
    </x:row>
    <x:row r="6" ht="25" customHeight="1">
      <x:c r="A6" s="3"/>
      <x:c r="B6" s="3"/>
      <x:c r="C6" s="3"/>
      <x:c r="D6" s="3"/>
      <x:c r="E6" s="3"/>
      <x:c r="F6" s="3"/>
      <x:c r="G6" s="3"/>
      <x:c r="H6" s="3"/>
      <x:c r="I6" s="3"/>
      <x:c r="J6" s="3"/>
    </x:row>
    <x:row r="7" ht="39" customHeight="1">
      <x:c r="A7" s="21" t="str">
        <x:v>Reward</x:v>
      </x:c>
      <x:c r="B7" s="21" t="str">
        <x:v>Pledged backers</x:v>
      </x:c>
      <x:c r="C7" s="21" t="str">
        <x:v>Expected collected</x:v>
      </x:c>
      <x:c r="D7" s="21" t="str">
        <x:v>Campaign gross</x:v>
      </x:c>
      <x:c r="E7" s="21" t="str">
        <x:v>Campaign fees</x:v>
      </x:c>
      <x:c r="F7" s="21" t="str">
        <x:v>Other costs</x:v>
      </x:c>
      <x:c r="G7" s="21" t="str">
        <x:v>Unit demand</x:v>
      </x:c>
      <x:c r="H7" s="21" t="str">
        <x:v>Postage costs</x:v>
      </x:c>
      <x:c r="I7" s="21" t="str">
        <x:v>Later shipping gross</x:v>
      </x:c>
      <x:c r="J7" s="21" t="str">
        <x:v>Later fees</x:v>
      </x:c>
    </x:row>
    <x:row r="8" ht="44" customHeight="1">
      <x:c r="A8" s="86" t="str">
        <x:f>Rewards!A8</x:f>
        <x:v>Base game</x:v>
      </x:c>
      <x:c r="B8" s="98" t="n">
        <x:f>ROUND(Start!$B$10*Rewards!C8,0)</x:f>
        <x:v>375</x:v>
      </x:c>
      <x:c r="C8" s="103" t="n">
        <x:f>B8*(1-Start!$B$11)</x:f>
        <x:v>367.5</x:v>
      </x:c>
      <x:c r="D8" s="77" t="n">
        <x:f>C8*(Rewards!B8+Rewards!G8)</x:f>
        <x:v>12862.5</x:v>
      </x:c>
      <x:c r="E8" s="77" t="n">
        <x:f>D8*(Start!$B$14+Rewards!H8)+C8*Rewards!I8</x:f>
        <x:v>1139.25</x:v>
      </x:c>
      <x:c r="F8" s="77" t="n">
        <x:f>B8*Rewards!E8</x:f>
        <x:v>1125</x:v>
      </x:c>
      <x:c r="G8" s="98" t="n">
        <x:f>B8*Rewards!D8</x:f>
        <x:v>375</x:v>
      </x:c>
      <x:c r="H8" s="77" t="n">
        <x:f>B8*Rewards!F8</x:f>
        <x:v>4970.625000000001</x:v>
      </x:c>
      <x:c r="I8" s="77" t="n">
        <x:f>IF(AND(Rewards!D8&gt;0,Start!$B$20="Later"),C8*Shipping!$H$15,0)</x:f>
        <x:v>6008.625000000001</x:v>
      </x:c>
      <x:c r="J8" s="95" t="n">
        <x:f>IF(I8&gt;0,I8*Start!$B$21+C8*Start!$B$22,0)</x:f>
        <x:v>410.68125000000003</x:v>
      </x:c>
    </x:row>
    <x:row r="9" ht="44" customHeight="1">
      <x:c r="A9" s="89" t="str">
        <x:f>Rewards!A9</x:f>
        <x:v>Two copies</x:v>
      </x:c>
      <x:c r="B9" s="99" t="n">
        <x:f>ROUND(Start!$B$10*Rewards!C9,0)</x:f>
        <x:v>100</x:v>
      </x:c>
      <x:c r="C9" s="104" t="n">
        <x:f>B9*(1-Start!$B$11)</x:f>
        <x:v>98</x:v>
      </x:c>
      <x:c r="D9" s="79" t="n">
        <x:f>C9*(Rewards!B9+Rewards!G9)</x:f>
        <x:v>6370</x:v>
      </x:c>
      <x:c r="E9" s="79" t="n">
        <x:f>D9*(Start!$B$14+Rewards!H9)+C9*Rewards!I9</x:f>
        <x:v>539</x:v>
      </x:c>
      <x:c r="F9" s="79" t="n">
        <x:f>B9*Rewards!E9</x:f>
        <x:v>500</x:v>
      </x:c>
      <x:c r="G9" s="99" t="n">
        <x:f>B9*Rewards!D9</x:f>
        <x:v>200</x:v>
      </x:c>
      <x:c r="H9" s="79" t="n">
        <x:f>B9*Rewards!F9</x:f>
        <x:v>1325.5000000000002</x:v>
      </x:c>
      <x:c r="I9" s="79" t="n">
        <x:f>IF(AND(Rewards!D9&gt;0,Start!$B$20="Later"),C9*Shipping!$H$15,0)</x:f>
        <x:v>1602.3000000000002</x:v>
      </x:c>
      <x:c r="J9" s="96" t="n">
        <x:f>IF(I9&gt;0,I9*Start!$B$21+C9*Start!$B$22,0)</x:f>
        <x:v>109.51500000000001</x:v>
      </x:c>
    </x:row>
    <x:row r="10" ht="44" customHeight="1">
      <x:c r="A10" s="92" t="str">
        <x:f>Rewards!A10</x:f>
        <x:v>Digital print and play</x:v>
      </x:c>
      <x:c r="B10" s="100" t="n">
        <x:f>Start!$B$10-SUM(B8:B9)</x:f>
        <x:v>25</x:v>
      </x:c>
      <x:c r="C10" s="105" t="n">
        <x:f>B10*(1-Start!$B$11)</x:f>
        <x:v>24.5</x:v>
      </x:c>
      <x:c r="D10" s="81" t="n">
        <x:f>C10*(Rewards!B10+Rewards!G10)</x:f>
        <x:v>196</x:v>
      </x:c>
      <x:c r="E10" s="81" t="n">
        <x:f>D10*(Start!$B$14+Rewards!H10)+C10*Rewards!I10</x:f>
        <x:v>21.560000000000002</x:v>
      </x:c>
      <x:c r="F10" s="81" t="n">
        <x:f>B10*Rewards!E10</x:f>
        <x:v>12.5</x:v>
      </x:c>
      <x:c r="G10" s="100" t="n">
        <x:f>B10*Rewards!D10</x:f>
        <x:v>0</x:v>
      </x:c>
      <x:c r="H10" s="81" t="n">
        <x:f>B10*Rewards!F10</x:f>
        <x:v>0</x:v>
      </x:c>
      <x:c r="I10" s="81" t="n">
        <x:f>IF(AND(Rewards!D10&gt;0,Start!$B$20="Later"),C10*Shipping!$H$15,0)</x:f>
        <x:v>0</x:v>
      </x:c>
      <x:c r="J10" s="97" t="n">
        <x:f>IF(I10&gt;0,I10*Start!$B$21+C10*Start!$B$22,0)</x:f>
        <x:v>0</x:v>
      </x:c>
    </x:row>
    <x:row r="11" ht="25" customHeight="1">
      <x:c r="A11" s="3"/>
      <x:c r="B11" s="101"/>
      <x:c r="C11" s="106"/>
      <x:c r="D11" s="68"/>
      <x:c r="E11" s="68"/>
      <x:c r="F11" s="68"/>
      <x:c r="G11" s="101"/>
      <x:c r="H11" s="68"/>
      <x:c r="I11" s="68"/>
      <x:c r="J11" s="68"/>
    </x:row>
    <x:row r="12" ht="25" customHeight="1">
      <x:c r="A12" s="3" t="str">
        <x:v>Totals</x:v>
      </x:c>
      <x:c r="B12" s="102" t="n">
        <x:f>SUM(B8:B10)</x:f>
        <x:v>500</x:v>
      </x:c>
      <x:c r="C12" s="107" t="n">
        <x:f>SUM(C8:C10)</x:f>
        <x:v>490</x:v>
      </x:c>
      <x:c r="D12" s="43" t="n">
        <x:f>SUM(D8:D10)</x:f>
        <x:v>19428.5</x:v>
      </x:c>
      <x:c r="E12" s="43" t="n">
        <x:f>SUM(E8:E10)</x:f>
        <x:v>1699.81</x:v>
      </x:c>
      <x:c r="F12" s="43" t="n">
        <x:f>SUM(F8:F10)</x:f>
        <x:v>1637.5</x:v>
      </x:c>
      <x:c r="G12" s="102" t="n">
        <x:f>SUM(G8:G10)</x:f>
        <x:v>575</x:v>
      </x:c>
      <x:c r="H12" s="43" t="n">
        <x:f>SUM(H8:H10)</x:f>
        <x:v>6296.125000000001</x:v>
      </x:c>
      <x:c r="I12" s="43" t="n">
        <x:f>SUM(I8:I10)</x:f>
        <x:v>7610.925000000001</x:v>
      </x:c>
      <x:c r="J12" s="43" t="n">
        <x:f>SUM(J8:J10)</x:f>
        <x:v>520.1962500000001</x:v>
      </x:c>
    </x:row>
    <x:row r="13" ht="25" customHeight="1">
      <x:c r="A13" s="3"/>
      <x:c r="B13" s="3"/>
      <x:c r="C13" s="3"/>
      <x:c r="D13" s="3"/>
      <x:c r="E13" s="3"/>
      <x:c r="F13" s="3"/>
      <x:c r="G13" s="3"/>
      <x:c r="H13" s="3"/>
      <x:c r="I13" s="3"/>
      <x:c r="J13" s="3"/>
    </x:row>
    <x:row r="14" ht="25" customHeight="1">
      <x:c r="A14" s="3" t="str">
        <x:v>Physical units pledged</x:v>
      </x:c>
      <x:c r="B14" s="14" t="n">
        <x:f>G12</x:f>
        <x:v>575</x:v>
      </x:c>
      <x:c r="C14" s="3"/>
      <x:c r="D14" s="3"/>
      <x:c r="E14" s="3"/>
      <x:c r="F14" s="3"/>
      <x:c r="G14" s="3"/>
      <x:c r="H14" s="3"/>
      <x:c r="I14" s="3"/>
      <x:c r="J14" s="3"/>
    </x:row>
    <x:row r="15" ht="25" customHeight="1">
      <x:c r="A15" s="3" t="str">
        <x:v>Units ordered</x:v>
      </x:c>
      <x:c r="B15" s="17" t="n">
        <x:f>IF(B14=0,0,CEILING(MAX(Costs!B9,B14+Costs!B11),MAX(1,Costs!B10)))</x:f>
        <x:v>575</x:v>
      </x:c>
      <x:c r="C15" s="3"/>
      <x:c r="D15" s="3"/>
      <x:c r="E15" s="3"/>
      <x:c r="F15" s="3"/>
      <x:c r="G15" s="3"/>
      <x:c r="H15" s="3"/>
      <x:c r="I15" s="3"/>
      <x:c r="J15" s="3"/>
    </x:row>
    <x:row r="16" ht="25" customHeight="1">
      <x:c r="A16" s="3" t="str">
        <x:v>Remaining inventory</x:v>
      </x:c>
      <x:c r="B16" s="14" t="n">
        <x:f>B15-B14</x:f>
        <x:v>0</x:v>
      </x:c>
      <x:c r="C16" s="3"/>
      <x:c r="D16" s="3"/>
      <x:c r="E16" s="3"/>
      <x:c r="F16" s="3"/>
      <x:c r="G16" s="3"/>
      <x:c r="H16" s="3"/>
      <x:c r="I16" s="3"/>
      <x:c r="J16" s="3"/>
    </x:row>
    <x:row r="17" ht="25" customHeight="1">
      <x:c r="A17" s="3" t="str">
        <x:v>Manufacturing cash</x:v>
      </x:c>
      <x:c r="B17" s="108" t="n">
        <x:f>B15*Costs!B8</x:f>
        <x:v>8050</x:v>
      </x:c>
      <x:c r="C17" s="3"/>
      <x:c r="D17" s="3"/>
      <x:c r="E17" s="3"/>
      <x:c r="F17" s="3"/>
      <x:c r="G17" s="3"/>
      <x:c r="H17" s="3"/>
      <x:c r="I17" s="3"/>
      <x:c r="J17" s="3"/>
    </x:row>
    <x:row r="18" ht="25" customHeight="1">
      <x:c r="A18" s="3" t="str">
        <x:v>Fixed costs</x:v>
      </x:c>
      <x:c r="B18" s="108" t="n">
        <x:f>Costs!B23</x:f>
        <x:v>6000</x:v>
      </x:c>
      <x:c r="C18" s="3"/>
      <x:c r="D18" s="3"/>
      <x:c r="E18" s="3"/>
      <x:c r="F18" s="3"/>
      <x:c r="G18" s="3"/>
      <x:c r="H18" s="3"/>
      <x:c r="I18" s="3"/>
      <x:c r="J18" s="3"/>
    </x:row>
    <x:row r="19" ht="25" customHeight="1">
      <x:c r="A19" s="3" t="str">
        <x:v>Other reward costs</x:v>
      </x:c>
      <x:c r="B19" s="43" t="n">
        <x:f>F12</x:f>
        <x:v>1637.5</x:v>
      </x:c>
      <x:c r="C19" s="3"/>
      <x:c r="D19" s="3"/>
      <x:c r="E19" s="3"/>
      <x:c r="F19" s="3"/>
      <x:c r="G19" s="3"/>
      <x:c r="H19" s="3"/>
      <x:c r="I19" s="3"/>
      <x:c r="J19" s="3"/>
    </x:row>
    <x:row r="20" ht="25" customHeight="1">
      <x:c r="A20" s="3" t="str">
        <x:v>Postage and fulfillment</x:v>
      </x:c>
      <x:c r="B20" s="43" t="n">
        <x:f>H12</x:f>
        <x:v>6296.125000000001</x:v>
      </x:c>
      <x:c r="C20" s="3"/>
      <x:c r="D20" s="3"/>
      <x:c r="E20" s="3"/>
      <x:c r="F20" s="3"/>
      <x:c r="G20" s="3"/>
      <x:c r="H20" s="3"/>
      <x:c r="I20" s="3"/>
      <x:c r="J20" s="3"/>
    </x:row>
    <x:row r="21" ht="25" customHeight="1">
      <x:c r="A21" s="3" t="str">
        <x:v>Contingency reserve</x:v>
      </x:c>
      <x:c r="B21" s="108" t="n">
        <x:f>SUM(B17:B20)*Start!B12</x:f>
        <x:v>2198.3625</x:v>
      </x:c>
      <x:c r="C21" s="3"/>
      <x:c r="D21" s="3"/>
      <x:c r="E21" s="3"/>
      <x:c r="F21" s="3"/>
      <x:c r="G21" s="3"/>
      <x:c r="H21" s="3"/>
      <x:c r="I21" s="3"/>
      <x:c r="J21" s="3"/>
    </x:row>
    <x:row r="22" ht="25" customHeight="1">
      <x:c r="A22" s="3" t="str">
        <x:v>Tax and refund reserves</x:v>
      </x:c>
      <x:c r="B22" s="108" t="n">
        <x:f>SUM(Start!B23:B24)</x:f>
        <x:v>0</x:v>
      </x:c>
      <x:c r="C22" s="3"/>
      <x:c r="D22" s="3"/>
      <x:c r="E22" s="3"/>
      <x:c r="F22" s="3"/>
      <x:c r="G22" s="3"/>
      <x:c r="H22" s="3"/>
      <x:c r="I22" s="3"/>
      <x:c r="J22" s="3"/>
    </x:row>
    <x:row r="23" ht="25" customHeight="1">
      <x:c r="A23" s="3"/>
      <x:c r="B23" s="68"/>
      <x:c r="C23" s="3"/>
      <x:c r="D23" s="3"/>
      <x:c r="E23" s="3"/>
      <x:c r="F23" s="3"/>
      <x:c r="G23" s="3"/>
      <x:c r="H23" s="3"/>
      <x:c r="I23" s="3"/>
      <x:c r="J23" s="3"/>
    </x:row>
    <x:row r="24" ht="25" customHeight="1">
      <x:c r="A24" s="3" t="str">
        <x:v>Net campaign receipts</x:v>
      </x:c>
      <x:c r="B24" s="43" t="n">
        <x:f>D12-E12</x:f>
        <x:v>17728.69</x:v>
      </x:c>
      <x:c r="C24" s="3"/>
      <x:c r="D24" s="3"/>
      <x:c r="E24" s="3"/>
      <x:c r="F24" s="3"/>
      <x:c r="G24" s="3"/>
      <x:c r="H24" s="3"/>
      <x:c r="I24" s="3"/>
      <x:c r="J24" s="3"/>
    </x:row>
    <x:row r="25" ht="25" customHeight="1">
      <x:c r="A25" s="3" t="str">
        <x:v>Net later shipping receipts</x:v>
      </x:c>
      <x:c r="B25" s="43" t="n">
        <x:f>I12-J12</x:f>
        <x:v>7090.728750000001</x:v>
      </x:c>
      <x:c r="C25" s="3"/>
      <x:c r="D25" s="3"/>
      <x:c r="E25" s="3"/>
      <x:c r="F25" s="3"/>
      <x:c r="G25" s="3"/>
      <x:c r="H25" s="3"/>
      <x:c r="I25" s="3"/>
      <x:c r="J25" s="3"/>
    </x:row>
    <x:row r="26" ht="25" customHeight="1">
      <x:c r="A26" s="3" t="str">
        <x:v>Opening cash</x:v>
      </x:c>
      <x:c r="B26" s="108" t="n">
        <x:f>Start!B13</x:f>
        <x:v>2000</x:v>
      </x:c>
      <x:c r="C26" s="3"/>
      <x:c r="D26" s="3"/>
      <x:c r="E26" s="3"/>
      <x:c r="F26" s="3"/>
      <x:c r="G26" s="3"/>
      <x:c r="H26" s="3"/>
      <x:c r="I26" s="3"/>
      <x:c r="J26" s="3"/>
    </x:row>
    <x:row r="27" ht="25" customHeight="1">
      <x:c r="A27" s="3" t="str">
        <x:v>Total cash and expected receipts</x:v>
      </x:c>
      <x:c r="B27" s="43" t="n">
        <x:f>SUM(B24:B26)</x:f>
        <x:v>26819.41875</x:v>
      </x:c>
      <x:c r="C27" s="3"/>
      <x:c r="D27" s="3"/>
      <x:c r="E27" s="3"/>
      <x:c r="F27" s="3"/>
      <x:c r="G27" s="3"/>
      <x:c r="H27" s="3"/>
      <x:c r="I27" s="3"/>
      <x:c r="J27" s="3"/>
    </x:row>
    <x:row r="28" ht="25" customHeight="1">
      <x:c r="A28" s="3" t="str">
        <x:v>Costs and reserves</x:v>
      </x:c>
      <x:c r="B28" s="43" t="n">
        <x:f>SUM(B17:B22)</x:f>
        <x:v>24181.9875</x:v>
      </x:c>
      <x:c r="C28" s="3"/>
      <x:c r="D28" s="3"/>
      <x:c r="E28" s="3"/>
      <x:c r="F28" s="3"/>
      <x:c r="G28" s="3"/>
      <x:c r="H28" s="3"/>
      <x:c r="I28" s="3"/>
      <x:c r="J28" s="3"/>
    </x:row>
    <x:row r="29" ht="25" customHeight="1">
      <x:c r="A29" s="112" t="str">
        <x:v>Lifetime cash surplus or gap</x:v>
      </x:c>
      <x:c r="B29" s="113" t="n">
        <x:f>B27-B28</x:f>
        <x:v>2637.4312500000015</x:v>
      </x:c>
      <x:c r="C29" s="3"/>
      <x:c r="D29" s="3"/>
      <x:c r="E29" s="3"/>
      <x:c r="F29" s="3"/>
      <x:c r="G29" s="3"/>
      <x:c r="H29" s="3"/>
      <x:c r="I29" s="3"/>
      <x:c r="J29" s="3"/>
    </x:row>
    <x:row r="30" ht="25" customHeight="1">
      <x:c r="A30" s="3"/>
      <x:c r="B30" s="68"/>
      <x:c r="C30" s="3"/>
      <x:c r="D30" s="3"/>
      <x:c r="E30" s="3"/>
      <x:c r="F30" s="3"/>
      <x:c r="G30" s="3"/>
      <x:c r="H30" s="3"/>
      <x:c r="I30" s="3"/>
      <x:c r="J30" s="3"/>
    </x:row>
    <x:row r="31" ht="25" customHeight="1">
      <x:c r="A31" s="112" t="str">
        <x:v>Cash excluding later receipts</x:v>
      </x:c>
      <x:c r="B31" s="113" t="n">
        <x:f>B26+B24-B28</x:f>
        <x:v>-4453.297500000001</x:v>
      </x:c>
      <x:c r="C31" s="3"/>
      <x:c r="D31" s="3"/>
      <x:c r="E31" s="3"/>
      <x:c r="F31" s="3"/>
      <x:c r="G31" s="3"/>
      <x:c r="H31" s="3"/>
      <x:c r="I31" s="3"/>
      <x:c r="J31" s="3"/>
    </x:row>
    <x:row r="32" ht="25" customHeight="1">
      <x:c r="A32" s="3"/>
      <x:c r="B32" s="3"/>
      <x:c r="C32" s="3"/>
      <x:c r="D32" s="3"/>
      <x:c r="E32" s="3"/>
      <x:c r="F32" s="3"/>
      <x:c r="G32" s="3"/>
      <x:c r="H32" s="3"/>
      <x:c r="I32" s="3"/>
      <x:c r="J32" s="3"/>
    </x:row>
    <x:row r="33" ht="44" customHeight="1">
      <x:c r="A33" s="3" t="str">
        <x:v>Reward mix check</x:v>
      </x:c>
      <x:c r="B33" s="109" t="str">
        <x:f>IF(ABS(Rewards!C12-1)&lt;0.000001,"OK","Fix reward mix")</x:f>
        <x:v>OK</x:v>
      </x:c>
      <x:c r="C33" s="8"/>
      <x:c r="D33" s="8"/>
      <x:c r="E33" s="3"/>
      <x:c r="F33" s="3"/>
      <x:c r="G33" s="3"/>
      <x:c r="H33" s="3"/>
      <x:c r="I33" s="3"/>
      <x:c r="J33" s="3"/>
    </x:row>
    <x:row r="34" ht="44" customHeight="1">
      <x:c r="A34" s="3" t="str">
        <x:v>Shipping mix check</x:v>
      </x:c>
      <x:c r="B34" s="109" t="str">
        <x:f>IF(OR(B14=0,ABS(Shipping!B14-1)&lt;0.000001),"OK","Fix shipping mix")</x:f>
        <x:v>OK</x:v>
      </x:c>
      <x:c r="C34" s="8"/>
      <x:c r="D34" s="8"/>
      <x:c r="E34" s="3"/>
      <x:c r="F34" s="3"/>
      <x:c r="G34" s="3"/>
      <x:c r="H34" s="3"/>
      <x:c r="I34" s="3"/>
      <x:c r="J34" s="3"/>
    </x:row>
    <x:row r="35" ht="44" customHeight="1">
      <x:c r="A35" s="3" t="str">
        <x:v>Quantity check</x:v>
      </x:c>
      <x:c r="B35" s="109" t="str">
        <x:f>IF(OR(Start!B10&lt;0,MIN(Rewards!D8:D10)&lt;0,Costs!B9&lt;0,Costs!B10&lt;1,Costs!B11&lt;0),"Fix quantity inputs","OK")</x:f>
        <x:v>OK</x:v>
      </x:c>
      <x:c r="C35" s="8"/>
      <x:c r="D35" s="8"/>
      <x:c r="E35" s="3"/>
      <x:c r="F35" s="3"/>
      <x:c r="G35" s="3"/>
      <x:c r="H35" s="3"/>
      <x:c r="I35" s="3"/>
      <x:c r="J35" s="3"/>
    </x:row>
    <x:row r="36" ht="44" customHeight="1">
      <x:c r="A36" s="3" t="str">
        <x:v>Input completeness</x:v>
      </x:c>
      <x:c r="B36" s="109" t="str">
        <x:f>IF(OR(IF(Start!B8="Conservative",COUNTBLANK(Start!E10:E12),IF(Start!B8="Base",COUNTBLANK(Start!F10:F12),COUNTBLANK(Start!G10:G12)))&gt;0,COUNTBLANK(Rewards!B8:E10)&gt;0,COUNTBLANK(Costs!B8:B11)&gt;0),"Missing required input","Inputs populated")</x:f>
        <x:v>Inputs populated</x:v>
      </x:c>
      <x:c r="C36" s="8"/>
      <x:c r="D36" s="8"/>
      <x:c r="E36" s="3"/>
      <x:c r="F36" s="3"/>
      <x:c r="G36" s="3"/>
      <x:c r="H36" s="3"/>
      <x:c r="I36" s="3"/>
      <x:c r="J36" s="3"/>
    </x:row>
    <x:row r="37" ht="44" customHeight="1">
      <x:c r="A37" s="3" t="str">
        <x:v>Quote check</x:v>
      </x:c>
      <x:c r="B37" s="109" t="str">
        <x:f>IF(AND(Start!B29="Yes",Start!B30="Yes"),"Confirmed by creator","Confirm production and shipping quotes")</x:f>
        <x:v>Confirm production and shipping quotes</x:v>
      </x:c>
      <x:c r="C37" s="8"/>
      <x:c r="D37" s="8"/>
      <x:c r="E37" s="3"/>
      <x:c r="F37" s="3"/>
      <x:c r="G37" s="3"/>
      <x:c r="H37" s="3"/>
      <x:c r="I37" s="3"/>
      <x:c r="J37" s="3"/>
    </x:row>
    <x:row r="38" ht="44" customHeight="1">
      <x:c r="A38" s="3" t="str">
        <x:v>Price and cost check</x:v>
      </x:c>
      <x:c r="B38" s="109" t="str">
        <x:f>IF(OR(MIN(Rewards!B8:B10)&lt;0,MIN(Rewards!E8:E10)&lt;0,Costs!B8&lt;0,MIN(Costs!B17:B21)&lt;0),"Fix negative price or cost","OK")</x:f>
        <x:v>OK</x:v>
      </x:c>
      <x:c r="C38" s="8"/>
      <x:c r="D38" s="8"/>
      <x:c r="E38" s="3"/>
      <x:c r="F38" s="3"/>
      <x:c r="G38" s="3"/>
      <x:c r="H38" s="3"/>
      <x:c r="I38" s="3"/>
      <x:c r="J38" s="3"/>
    </x:row>
    <x:row r="39" ht="44" customHeight="1">
      <x:c r="A39" s="3" t="str">
        <x:v>Fee and reserve check</x:v>
      </x:c>
      <x:c r="B39" s="109" t="str">
        <x:f>IF(OR(Start!B11&lt;0,Start!B11&gt;=1,Start!B12&lt;0,Start!B14&lt;0,Start!B15&lt;0,Start!B14+Start!B15&gt;=1,Start!B18&lt;0,Start!B14+Start!B18&gt;=1,Start!B16&lt;0,Start!B19&lt;0,Start!B21&lt;0,Start!B21&gt;=1,Start!B22&lt;0,Start!B23&lt;0,Start!B24&lt;0),"Fix fee or reserve assumptions","OK")</x:f>
        <x:v>OK</x:v>
      </x:c>
      <x:c r="C39" s="8"/>
      <x:c r="D39" s="8"/>
      <x:c r="E39" s="3"/>
      <x:c r="F39" s="3"/>
      <x:c r="G39" s="3"/>
      <x:c r="H39" s="3"/>
      <x:c r="I39" s="3"/>
      <x:c r="J39" s="3"/>
    </x:row>
    <x:row r="40" ht="25" customHeight="1">
      <x:c r="A40" s="3"/>
      <x:c r="B40" s="3"/>
      <x:c r="C40" s="3"/>
      <x:c r="D40" s="3"/>
      <x:c r="E40" s="3"/>
      <x:c r="F40" s="3"/>
      <x:c r="G40" s="3"/>
      <x:c r="H40" s="3"/>
      <x:c r="I40" s="3"/>
      <x:c r="J40" s="3"/>
    </x:row>
    <x:row r="41" ht="25" customHeight="1">
      <x:c r="A41" s="8" t="str">
        <x:v>Read Cash for timing. A lifetime surplus can hide an earlier shortfall. Unsold stock is not cash. The model excludes future retail income and does not calculate country specific taxes. If rates, quantities, reward mix or quotes are missing or invalid, resolve the checks before using totals.</x:v>
      </x:c>
      <x:c r="B41" s="8"/>
      <x:c r="C41" s="8"/>
      <x:c r="D41" s="8"/>
      <x:c r="E41" s="8"/>
      <x:c r="F41" s="8"/>
      <x:c r="G41" s="8"/>
      <x:c r="H41" s="8"/>
      <x:c r="I41" s="8"/>
      <x:c r="J41" s="8"/>
    </x:row>
    <x:row r="42" ht="25" customHeight="1">
      <x:c r="A42" s="8"/>
      <x:c r="B42" s="8"/>
      <x:c r="C42" s="8"/>
      <x:c r="D42" s="8"/>
      <x:c r="E42" s="8"/>
      <x:c r="F42" s="8"/>
      <x:c r="G42" s="8"/>
      <x:c r="H42" s="8"/>
      <x:c r="I42" s="8"/>
      <x:c r="J42" s="8"/>
    </x:row>
    <x:row r="43" ht="25" customHeight="1">
      <x:c r="A43" s="8"/>
      <x:c r="B43" s="8"/>
      <x:c r="C43" s="8"/>
      <x:c r="D43" s="8"/>
      <x:c r="E43" s="8"/>
      <x:c r="F43" s="8"/>
      <x:c r="G43" s="8"/>
      <x:c r="H43" s="8"/>
      <x:c r="I43" s="8"/>
      <x:c r="J43" s="8"/>
    </x:row>
    <x:row r="44" ht="25" customHeight="1">
      <x:c r="A44" s="8"/>
      <x:c r="B44" s="8"/>
      <x:c r="C44" s="8"/>
      <x:c r="D44" s="8"/>
      <x:c r="E44" s="8"/>
      <x:c r="F44" s="8"/>
      <x:c r="G44" s="8"/>
      <x:c r="H44" s="8"/>
      <x:c r="I44" s="8"/>
      <x:c r="J44" s="8"/>
    </x:row>
    <x:row r="45" ht="25" customHeight="1">
      <x:c r="A45" s="3"/>
      <x:c r="B45" s="3"/>
      <x:c r="C45" s="3"/>
      <x:c r="D45" s="3"/>
      <x:c r="E45" s="3"/>
      <x:c r="F45" s="3"/>
      <x:c r="G45" s="3"/>
      <x:c r="H45" s="3"/>
      <x:c r="I45" s="3"/>
      <x:c r="J45" s="3"/>
    </x:row>
    <x:row r="46" ht="25" customHeight="1">
      <x:c r="A46" s="3"/>
      <x:c r="B46" s="3"/>
      <x:c r="C46" s="3"/>
      <x:c r="D46" s="3"/>
      <x:c r="E46" s="3"/>
      <x:c r="F46" s="3"/>
      <x:c r="G46" s="3"/>
      <x:c r="H46" s="3"/>
      <x:c r="I46" s="3"/>
      <x:c r="J46" s="3"/>
    </x:row>
  </x:sheetData>
  <x:mergeCells>
    <x:mergeCell ref="A1:J2"/>
    <x:mergeCell ref="A3:J4"/>
    <x:mergeCell ref="B33:D33"/>
    <x:mergeCell ref="B34:D34"/>
    <x:mergeCell ref="B35:D35"/>
    <x:mergeCell ref="B36:D36"/>
    <x:mergeCell ref="B37:D37"/>
    <x:mergeCell ref="B38:D38"/>
    <x:mergeCell ref="B39:D39"/>
    <x:mergeCell ref="A41:J44"/>
  </x:mergeCells>
  <x:conditionalFormatting sqref="B29:B29">
    <x:cfRule type="cellIs" dxfId="0" priority="1" operator="lessThan">
      <x:formula>0</x:formula>
    </x:cfRule>
  </x:conditionalFormatting>
  <x:conditionalFormatting sqref="B31:B31">
    <x:cfRule type="cellIs" dxfId="1" priority="2" operator="lessThan">
      <x:formula>0</x:formula>
    </x:cfRule>
  </x:conditionalFormatting>
  <x:pageMargins left="0.7" right="0.7" top="0.75" bottom="0.75" header="0.3" footer="0.3"/>
  <x:tableParts count="1">
    <x:tablePart xmlns:r="http://schemas.openxmlformats.org/officeDocument/2006/relationships" r:id="R8681b6bc03e04dc2"/>
  </x:tableParts>
</x:worksheet>
</file>

<file path=xl/worksheets/sheet3.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27" hidden="0" customWidth="1"/>
    <x:col min="2" max="2" width="15" hidden="0" customWidth="1"/>
    <x:col min="3" max="3" width="15" hidden="0" customWidth="1"/>
    <x:col min="4" max="4" width="12" hidden="0" customWidth="1"/>
    <x:col min="5" max="5" width="15" hidden="0" customWidth="1"/>
    <x:col min="6" max="6" width="17" hidden="0" customWidth="1"/>
    <x:col min="7" max="7" width="17" hidden="0" customWidth="1"/>
    <x:col min="8" max="8" width="14" hidden="0" customWidth="1"/>
    <x:col min="9" max="9" width="14" hidden="0" customWidth="1"/>
    <x:col min="10" max="10" width="18" hidden="0" customWidth="1"/>
    <x:col min="11" max="11" width="18" hidden="0" customWidth="1"/>
    <x:col min="12" max="12" width="18" hidden="0" customWidth="1"/>
    <x:col min="13" max="13" width="18" hidden="0" customWidth="1"/>
  </x:cols>
  <x:sheetData>
    <x:row r="1" ht="25" customHeight="1">
      <x:c r="A1" s="7" t="str">
        <x:v>Reward prices and lifetime contribution</x:v>
      </x:c>
      <x:c r="B1" s="4"/>
      <x:c r="C1" s="4"/>
      <x:c r="D1" s="4"/>
      <x:c r="E1" s="4"/>
      <x:c r="F1" s="4"/>
      <x:c r="G1" s="4"/>
      <x:c r="H1" s="4"/>
      <x:c r="I1" s="4"/>
      <x:c r="J1" s="4"/>
      <x:c r="K1" s="4"/>
      <x:c r="L1" s="4"/>
      <x:c r="M1" s="4"/>
    </x:row>
    <x:row r="2" ht="25" customHeight="1">
      <x:c r="A2" s="4"/>
      <x:c r="B2" s="4"/>
      <x:c r="C2" s="4"/>
      <x:c r="D2" s="4"/>
      <x:c r="E2" s="4"/>
      <x:c r="F2" s="4"/>
      <x:c r="G2" s="4"/>
      <x:c r="H2" s="4"/>
      <x:c r="I2" s="4"/>
      <x:c r="J2" s="4"/>
      <x:c r="K2" s="4"/>
      <x:c r="L2" s="4"/>
      <x:c r="M2" s="4"/>
    </x:row>
    <x:row r="3" ht="25" customHeight="1">
      <x:c r="A3" s="9" t="str">
        <x:v>Prices exclude separately charged shipping. One fixed processor fee applies per pledge. Add on units share the pledge fee; enter their combined bundle as a tier. Blue cells are editable.</x:v>
      </x:c>
      <x:c r="B3" s="9"/>
      <x:c r="C3" s="9"/>
      <x:c r="D3" s="9"/>
      <x:c r="E3" s="9"/>
      <x:c r="F3" s="9"/>
      <x:c r="G3" s="9"/>
      <x:c r="H3" s="9"/>
      <x:c r="I3" s="9"/>
      <x:c r="J3" s="9"/>
      <x:c r="K3" s="9"/>
      <x:c r="L3" s="9"/>
      <x:c r="M3" s="9"/>
    </x:row>
    <x:row r="4" ht="25" customHeight="1">
      <x:c r="A4" s="9"/>
      <x:c r="B4" s="9"/>
      <x:c r="C4" s="9"/>
      <x:c r="D4" s="9"/>
      <x:c r="E4" s="9"/>
      <x:c r="F4" s="9"/>
      <x:c r="G4" s="9"/>
      <x:c r="H4" s="9"/>
      <x:c r="I4" s="9"/>
      <x:c r="J4" s="9"/>
      <x:c r="K4" s="9"/>
      <x:c r="L4" s="9"/>
      <x:c r="M4" s="9"/>
    </x:row>
    <x:row r="5" ht="25" customHeight="1">
      <x:c r="A5" s="3" t="str">
        <x:v>Selected case</x:v>
      </x:c>
      <x:c r="B5" s="17" t="str">
        <x:f>Start!B8</x:f>
        <x:v>Base</x:v>
      </x:c>
      <x:c r="C5" s="3"/>
      <x:c r="D5" s="3"/>
      <x:c r="E5" s="3"/>
      <x:c r="F5" s="3"/>
      <x:c r="G5" s="3"/>
      <x:c r="H5" s="3"/>
      <x:c r="I5" s="3"/>
      <x:c r="J5" s="3"/>
      <x:c r="K5" s="3"/>
      <x:c r="L5" s="3"/>
      <x:c r="M5" s="3"/>
    </x:row>
    <x:row r="6" ht="25" customHeight="1">
      <x:c r="A6" s="3"/>
      <x:c r="B6" s="3"/>
      <x:c r="C6" s="3"/>
      <x:c r="D6" s="3"/>
      <x:c r="E6" s="3"/>
      <x:c r="F6" s="3"/>
      <x:c r="G6" s="3"/>
      <x:c r="H6" s="3"/>
      <x:c r="I6" s="3"/>
      <x:c r="J6" s="3"/>
      <x:c r="K6" s="3"/>
      <x:c r="L6" s="3"/>
      <x:c r="M6" s="3"/>
    </x:row>
    <x:row r="7" ht="39" customHeight="1">
      <x:c r="A7" s="21" t="str">
        <x:v>Reward</x:v>
      </x:c>
      <x:c r="B7" s="21" t="str">
        <x:v>Price</x:v>
      </x:c>
      <x:c r="C7" s="21" t="str">
        <x:v>Backer mix</x:v>
      </x:c>
      <x:c r="D7" s="21" t="str">
        <x:v>Units</x:v>
      </x:c>
      <x:c r="E7" s="21" t="str">
        <x:v>Other cost</x:v>
      </x:c>
      <x:c r="F7" s="21" t="str">
        <x:v>Postage cost</x:v>
      </x:c>
      <x:c r="G7" s="21" t="str">
        <x:v>Shipping now</x:v>
      </x:c>
      <x:c r="H7" s="21" t="str">
        <x:v>Proc rate</x:v>
      </x:c>
      <x:c r="I7" s="21" t="str">
        <x:v>Fixed fee</x:v>
      </x:c>
      <x:c r="J7" s="21" t="str">
        <x:v>Campaign net</x:v>
      </x:c>
      <x:c r="K7" s="21" t="str">
        <x:v>Total cost</x:v>
      </x:c>
      <x:c r="L7" s="21" t="str">
        <x:v>Later net</x:v>
      </x:c>
      <x:c r="M7" s="21" t="str">
        <x:v>Contribution</x:v>
      </x:c>
    </x:row>
    <x:row r="8" ht="44" customHeight="1">
      <x:c r="A8" s="51" t="str">
        <x:v>Base game</x:v>
      </x:c>
      <x:c r="B8" s="40" t="n">
        <x:v>35</x:v>
      </x:c>
      <x:c r="C8" s="61" t="n">
        <x:v>0.75</x:v>
      </x:c>
      <x:c r="D8" s="37" t="n">
        <x:v>1</x:v>
      </x:c>
      <x:c r="E8" s="40" t="n">
        <x:v>3</x:v>
      </x:c>
      <x:c r="F8" s="77" t="n">
        <x:f>IF(D8&gt;0,Shipping!$G$15,0)</x:f>
        <x:v>13.255000000000003</x:v>
      </x:c>
      <x:c r="G8" s="77" t="n">
        <x:f>IF(AND(D8&gt;0,Start!$B$20="At pledge"),Shipping!$H$15,0)</x:f>
        <x:v>0</x:v>
      </x:c>
      <x:c r="H8" s="83" t="n">
        <x:f>IF(B8+G8&lt;Start!$B$17,Start!$B$18,Start!$B$15)</x:f>
        <x:v>0.03</x:v>
      </x:c>
      <x:c r="I8" s="77" t="n">
        <x:f>IF(B8+G8&lt;Start!$B$17,Start!$B$19,Start!$B$16)</x:f>
        <x:v>0.3</x:v>
      </x:c>
      <x:c r="J8" s="77" t="n">
        <x:f>(B8+G8)*(1-Start!$B$14-H8)-I8</x:f>
        <x:v>31.899999999999995</x:v>
      </x:c>
      <x:c r="K8" s="77" t="n">
        <x:f>D8*Costs!$B$8+E8+F8</x:f>
        <x:v>30.255000000000003</x:v>
      </x:c>
      <x:c r="L8" s="77" t="n">
        <x:f>IF(AND(D8&gt;0,Start!$B$20="Later"),Shipping!$H$15*(1-Start!$B$21)-Start!$B$22,0)</x:f>
        <x:v>15.2325</x:v>
      </x:c>
      <x:c r="M8" s="78" t="n">
        <x:f>J8+L8-K8</x:f>
        <x:v>16.87749999999999</x:v>
      </x:c>
    </x:row>
    <x:row r="9" ht="44" customHeight="1">
      <x:c r="A9" s="70" t="str">
        <x:v>Two copies</x:v>
      </x:c>
      <x:c r="B9" s="41" t="n">
        <x:v>65</x:v>
      </x:c>
      <x:c r="C9" s="62" t="n">
        <x:v>0.2</x:v>
      </x:c>
      <x:c r="D9" s="38" t="n">
        <x:v>2</x:v>
      </x:c>
      <x:c r="E9" s="41" t="n">
        <x:v>5</x:v>
      </x:c>
      <x:c r="F9" s="79" t="n">
        <x:f>IF(D9&gt;0,Shipping!$G$15,0)</x:f>
        <x:v>13.255000000000003</x:v>
      </x:c>
      <x:c r="G9" s="79" t="n">
        <x:f>IF(AND(D9&gt;0,Start!$B$20="At pledge"),Shipping!$H$15,0)</x:f>
        <x:v>0</x:v>
      </x:c>
      <x:c r="H9" s="84" t="n">
        <x:f>IF(B9+G9&lt;Start!$B$17,Start!$B$18,Start!$B$15)</x:f>
        <x:v>0.03</x:v>
      </x:c>
      <x:c r="I9" s="79" t="n">
        <x:f>IF(B9+G9&lt;Start!$B$17,Start!$B$19,Start!$B$16)</x:f>
        <x:v>0.3</x:v>
      </x:c>
      <x:c r="J9" s="79" t="n">
        <x:f>(B9+G9)*(1-Start!$B$14-H9)-I9</x:f>
        <x:v>59.5</x:v>
      </x:c>
      <x:c r="K9" s="79" t="n">
        <x:f>D9*Costs!$B$8+E9+F9</x:f>
        <x:v>46.255</x:v>
      </x:c>
      <x:c r="L9" s="79" t="n">
        <x:f>IF(AND(D9&gt;0,Start!$B$20="Later"),Shipping!$H$15*(1-Start!$B$21)-Start!$B$22,0)</x:f>
        <x:v>15.2325</x:v>
      </x:c>
      <x:c r="M9" s="80" t="n">
        <x:f>J9+L9-K9</x:f>
        <x:v>28.4775</x:v>
      </x:c>
    </x:row>
    <x:row r="10" ht="44" customHeight="1">
      <x:c r="A10" s="53" t="str">
        <x:v>Digital print and play</x:v>
      </x:c>
      <x:c r="B10" s="42" t="n">
        <x:v>8</x:v>
      </x:c>
      <x:c r="C10" s="63" t="n">
        <x:v>0.05</x:v>
      </x:c>
      <x:c r="D10" s="39" t="n">
        <x:v>0</x:v>
      </x:c>
      <x:c r="E10" s="42" t="n">
        <x:v>0.5</x:v>
      </x:c>
      <x:c r="F10" s="81" t="n">
        <x:f>IF(D10&gt;0,Shipping!$G$15,0)</x:f>
        <x:v>0</x:v>
      </x:c>
      <x:c r="G10" s="81" t="n">
        <x:f>IF(AND(D10&gt;0,Start!$B$20="At pledge"),Shipping!$H$15,0)</x:f>
        <x:v>0</x:v>
      </x:c>
      <x:c r="H10" s="85" t="n">
        <x:f>IF(B10+G10&lt;Start!$B$17,Start!$B$18,Start!$B$15)</x:f>
        <x:v>0.05</x:v>
      </x:c>
      <x:c r="I10" s="81" t="n">
        <x:f>IF(B10+G10&lt;Start!$B$17,Start!$B$19,Start!$B$16)</x:f>
        <x:v>0.08</x:v>
      </x:c>
      <x:c r="J10" s="81" t="n">
        <x:f>(B10+G10)*(1-Start!$B$14-H10)-I10</x:f>
        <x:v>7.119999999999999</x:v>
      </x:c>
      <x:c r="K10" s="81" t="n">
        <x:f>D10*Costs!$B$8+E10+F10</x:f>
        <x:v>0.5</x:v>
      </x:c>
      <x:c r="L10" s="81" t="n">
        <x:f>IF(AND(D10&gt;0,Start!$B$20="Later"),Shipping!$H$15*(1-Start!$B$21)-Start!$B$22,0)</x:f>
        <x:v>0</x:v>
      </x:c>
      <x:c r="M10" s="82" t="n">
        <x:f>J10+L10-K10</x:f>
        <x:v>6.619999999999999</x:v>
      </x:c>
    </x:row>
    <x:row r="11" ht="25" customHeight="1">
      <x:c r="A11" s="3"/>
      <x:c r="B11" s="3"/>
      <x:c r="C11" s="3"/>
      <x:c r="D11" s="3"/>
      <x:c r="E11" s="68"/>
      <x:c r="F11" s="68"/>
      <x:c r="G11" s="68"/>
      <x:c r="H11" s="68"/>
      <x:c r="I11" s="68"/>
      <x:c r="J11" s="68"/>
      <x:c r="K11" s="68"/>
      <x:c r="L11" s="68"/>
      <x:c r="M11" s="68"/>
    </x:row>
    <x:row r="12" ht="25" customHeight="1">
      <x:c r="A12" s="3" t="str">
        <x:v>Mix total</x:v>
      </x:c>
      <x:c r="B12" s="3"/>
      <x:c r="C12" s="15" t="n">
        <x:f>SUM(C8:C10)</x:f>
        <x:v>1</x:v>
      </x:c>
      <x:c r="D12" s="3"/>
      <x:c r="E12" s="68"/>
      <x:c r="F12" s="68"/>
      <x:c r="G12" s="68"/>
      <x:c r="H12" s="68"/>
      <x:c r="I12" s="68"/>
      <x:c r="J12" s="68"/>
      <x:c r="K12" s="68"/>
      <x:c r="L12" s="68"/>
      <x:c r="M12" s="68"/>
    </x:row>
    <x:row r="13" ht="25" customHeight="1">
      <x:c r="A13" s="3" t="str">
        <x:v>Weighted contribution</x:v>
      </x:c>
      <x:c r="B13" s="3"/>
      <x:c r="C13" s="3"/>
      <x:c r="D13" s="3"/>
      <x:c r="E13" s="68"/>
      <x:c r="F13" s="68"/>
      <x:c r="G13" s="68"/>
      <x:c r="H13" s="68"/>
      <x:c r="I13" s="68"/>
      <x:c r="J13" s="68"/>
      <x:c r="K13" s="68"/>
      <x:c r="L13" s="68"/>
      <x:c r="M13" s="43" t="n">
        <x:f>SUMPRODUCT(C8:C10,M8:M10)</x:f>
        <x:v>18.684624999999993</x:v>
      </x:c>
    </x:row>
    <x:row r="14" ht="25" customHeight="1">
      <x:c r="A14" s="3"/>
      <x:c r="B14" s="3"/>
      <x:c r="C14" s="3"/>
      <x:c r="D14" s="3"/>
      <x:c r="E14" s="3"/>
      <x:c r="F14" s="3"/>
      <x:c r="G14" s="3"/>
      <x:c r="H14" s="3"/>
      <x:c r="I14" s="3"/>
      <x:c r="J14" s="3"/>
      <x:c r="K14" s="3"/>
      <x:c r="L14" s="3"/>
      <x:c r="M14" s="3"/>
    </x:row>
    <x:row r="15" ht="25" customHeight="1">
      <x:c r="A15" s="3" t="str">
        <x:v>Mix check</x:v>
      </x:c>
      <x:c r="B15" s="14" t="str">
        <x:f>IF(ABS(C12-1)&lt;0.000001,"OK","Mix must total 100%")</x:f>
        <x:v>OK</x:v>
      </x:c>
      <x:c r="C15" s="3"/>
      <x:c r="D15" s="3"/>
      <x:c r="E15" s="3"/>
      <x:c r="F15" s="3"/>
      <x:c r="G15" s="3"/>
      <x:c r="H15" s="3"/>
      <x:c r="I15" s="3"/>
      <x:c r="J15" s="3"/>
      <x:c r="K15" s="3"/>
      <x:c r="L15" s="3"/>
      <x:c r="M15" s="3"/>
    </x:row>
    <x:row r="16" ht="25" customHeight="1">
      <x:c r="A16" s="3"/>
      <x:c r="B16" s="3"/>
      <x:c r="C16" s="3"/>
      <x:c r="D16" s="3"/>
      <x:c r="E16" s="3"/>
      <x:c r="F16" s="3"/>
      <x:c r="G16" s="3"/>
      <x:c r="H16" s="3"/>
      <x:c r="I16" s="3"/>
      <x:c r="J16" s="3"/>
      <x:c r="K16" s="3"/>
      <x:c r="L16" s="3"/>
      <x:c r="M16" s="3"/>
    </x:row>
    <x:row r="17" ht="25" customHeight="1">
      <x:c r="A17" s="3" t="str">
        <x:v>Contribution check</x:v>
      </x:c>
      <x:c r="B17" s="14" t="str">
        <x:f>IF(MIN(M8:M10)&lt;=0,"At least one tier loses money","All demo tiers contribute")</x:f>
        <x:v>All demo tiers contribute</x:v>
      </x:c>
      <x:c r="C17" s="3"/>
      <x:c r="D17" s="3"/>
      <x:c r="E17" s="3"/>
      <x:c r="F17" s="3"/>
      <x:c r="G17" s="3"/>
      <x:c r="H17" s="3"/>
      <x:c r="I17" s="3"/>
      <x:c r="J17" s="3"/>
      <x:c r="K17" s="3"/>
      <x:c r="L17" s="3"/>
      <x:c r="M17" s="3"/>
    </x:row>
    <x:row r="18" ht="25" customHeight="1">
      <x:c r="A18" s="3"/>
      <x:c r="B18" s="3"/>
      <x:c r="C18" s="3"/>
      <x:c r="D18" s="3"/>
      <x:c r="E18" s="3"/>
      <x:c r="F18" s="3"/>
      <x:c r="G18" s="3"/>
      <x:c r="H18" s="3"/>
      <x:c r="I18" s="3"/>
      <x:c r="J18" s="3"/>
      <x:c r="K18" s="3"/>
      <x:c r="L18" s="3"/>
      <x:c r="M18" s="3"/>
    </x:row>
    <x:row r="19" ht="25" customHeight="1">
      <x:c r="A19" s="8" t="str">
        <x:v>Contribution estimates each fulfilled pledge using a per unit manufacturing allocation. Funding instead purchases the full supplier order including MOQ and spares. A positive contribution does not mean the campaign has enough cash. Digital rewards have zero physical units and postage.</x:v>
      </x:c>
      <x:c r="B19" s="8"/>
      <x:c r="C19" s="8"/>
      <x:c r="D19" s="8"/>
      <x:c r="E19" s="8"/>
      <x:c r="F19" s="8"/>
      <x:c r="G19" s="8"/>
      <x:c r="H19" s="8"/>
      <x:c r="I19" s="8"/>
      <x:c r="J19" s="8"/>
      <x:c r="K19" s="8"/>
      <x:c r="L19" s="8"/>
      <x:c r="M19" s="8"/>
    </x:row>
    <x:row r="20" ht="25" customHeight="1">
      <x:c r="A20" s="8"/>
      <x:c r="B20" s="8"/>
      <x:c r="C20" s="8"/>
      <x:c r="D20" s="8"/>
      <x:c r="E20" s="8"/>
      <x:c r="F20" s="8"/>
      <x:c r="G20" s="8"/>
      <x:c r="H20" s="8"/>
      <x:c r="I20" s="8"/>
      <x:c r="J20" s="8"/>
      <x:c r="K20" s="8"/>
      <x:c r="L20" s="8"/>
      <x:c r="M20" s="8"/>
    </x:row>
    <x:row r="21" ht="25" customHeight="1">
      <x:c r="A21" s="8"/>
      <x:c r="B21" s="8"/>
      <x:c r="C21" s="8"/>
      <x:c r="D21" s="8"/>
      <x:c r="E21" s="8"/>
      <x:c r="F21" s="8"/>
      <x:c r="G21" s="8"/>
      <x:c r="H21" s="8"/>
      <x:c r="I21" s="8"/>
      <x:c r="J21" s="8"/>
      <x:c r="K21" s="8"/>
      <x:c r="L21" s="8"/>
      <x:c r="M21" s="8"/>
    </x:row>
    <x:row r="22" ht="25" customHeight="1">
      <x:c r="A22" s="3"/>
      <x:c r="B22" s="3"/>
      <x:c r="C22" s="3"/>
      <x:c r="D22" s="3"/>
      <x:c r="E22" s="3"/>
      <x:c r="F22" s="3"/>
      <x:c r="G22" s="3"/>
      <x:c r="H22" s="3"/>
      <x:c r="I22" s="3"/>
      <x:c r="J22" s="3"/>
      <x:c r="K22" s="3"/>
      <x:c r="L22" s="3"/>
      <x:c r="M22" s="3"/>
    </x:row>
    <x:row r="23" ht="25" customHeight="1">
      <x:c r="A23" s="3"/>
      <x:c r="B23" s="3"/>
      <x:c r="C23" s="3"/>
      <x:c r="D23" s="3"/>
      <x:c r="E23" s="3"/>
      <x:c r="F23" s="3"/>
      <x:c r="G23" s="3"/>
      <x:c r="H23" s="3"/>
      <x:c r="I23" s="3"/>
      <x:c r="J23" s="3"/>
      <x:c r="K23" s="3"/>
      <x:c r="L23" s="3"/>
      <x:c r="M23" s="3"/>
    </x:row>
    <x:row r="24" ht="25" customHeight="1">
      <x:c r="A24" s="3"/>
      <x:c r="B24" s="3"/>
      <x:c r="C24" s="3"/>
      <x:c r="D24" s="3"/>
      <x:c r="E24" s="3"/>
      <x:c r="F24" s="3"/>
      <x:c r="G24" s="3"/>
      <x:c r="H24" s="3"/>
      <x:c r="I24" s="3"/>
      <x:c r="J24" s="3"/>
      <x:c r="K24" s="3"/>
      <x:c r="L24" s="3"/>
      <x:c r="M24" s="3"/>
    </x:row>
  </x:sheetData>
  <x:mergeCells>
    <x:mergeCell ref="A1:M2"/>
    <x:mergeCell ref="A3:M4"/>
    <x:mergeCell ref="A19:M21"/>
  </x:mergeCells>
  <x:conditionalFormatting sqref="M8:M10">
    <x:cfRule type="cellIs" dxfId="3" priority="1" operator="lessThan">
      <x:formula>0</x:formula>
    </x:cfRule>
  </x:conditionalFormatting>
  <x:pageMargins left="0.7" right="0.7" top="0.75" bottom="0.75" header="0.3" footer="0.3"/>
  <x:tableParts count="1">
    <x:tablePart xmlns:r="http://schemas.openxmlformats.org/officeDocument/2006/relationships" r:id="R235dc62ef5e94554"/>
  </x:tableParts>
</x:worksheet>
</file>

<file path=xl/worksheets/sheet4.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25" hidden="0" customWidth="1"/>
    <x:col min="2" max="2" width="12" hidden="0" customWidth="1"/>
    <x:col min="3" max="3" width="18" hidden="0" customWidth="1"/>
    <x:col min="4" max="4" width="30" hidden="0" customWidth="1"/>
    <x:col min="5" max="5" width="16" hidden="0" customWidth="1"/>
    <x:col min="6" max="6" width="16" hidden="0" customWidth="1"/>
    <x:col min="7" max="7" width="16" hidden="0" customWidth="1"/>
    <x:col min="8" max="8" width="30" hidden="0" customWidth="1"/>
  </x:cols>
  <x:sheetData>
    <x:row r="1" ht="25" customHeight="1">
      <x:c r="A1" s="7" t="str">
        <x:v>Costs and supplier assumptions</x:v>
      </x:c>
      <x:c r="B1" s="4"/>
      <x:c r="C1" s="4"/>
      <x:c r="D1" s="4"/>
      <x:c r="E1" s="4"/>
      <x:c r="F1" s="4"/>
      <x:c r="G1" s="4"/>
      <x:c r="H1" s="4"/>
    </x:row>
    <x:row r="2" ht="25" customHeight="1">
      <x:c r="A2" s="4"/>
      <x:c r="B2" s="4"/>
      <x:c r="C2" s="4"/>
      <x:c r="D2" s="4"/>
      <x:c r="E2" s="4"/>
      <x:c r="F2" s="4"/>
      <x:c r="G2" s="4"/>
      <x:c r="H2" s="4"/>
    </x:row>
    <x:row r="3" ht="25" customHeight="1">
      <x:c r="A3" s="9" t="str">
        <x:v>Replace the demo with dated quotes. Unit cost below must include inbound freight and duties. Do not add those again if your quote already includes them.</x:v>
      </x:c>
      <x:c r="B3" s="9"/>
      <x:c r="C3" s="9"/>
      <x:c r="D3" s="9"/>
      <x:c r="E3" s="9"/>
      <x:c r="F3" s="9"/>
      <x:c r="G3" s="9"/>
      <x:c r="H3" s="9"/>
    </x:row>
    <x:row r="4" ht="25" customHeight="1">
      <x:c r="A4" s="9"/>
      <x:c r="B4" s="9"/>
      <x:c r="C4" s="9"/>
      <x:c r="D4" s="9"/>
      <x:c r="E4" s="9"/>
      <x:c r="F4" s="9"/>
      <x:c r="G4" s="9"/>
      <x:c r="H4" s="9"/>
    </x:row>
    <x:row r="5" ht="25" customHeight="1">
      <x:c r="A5" s="3" t="str">
        <x:v>Selected case</x:v>
      </x:c>
      <x:c r="B5" s="17" t="str">
        <x:f>Start!B8</x:f>
        <x:v>Base</x:v>
      </x:c>
      <x:c r="C5" s="3"/>
      <x:c r="D5" s="3"/>
      <x:c r="E5" s="3"/>
      <x:c r="F5" s="3"/>
      <x:c r="G5" s="3"/>
      <x:c r="H5" s="3"/>
    </x:row>
    <x:row r="6" ht="25" customHeight="1">
      <x:c r="A6" s="3"/>
      <x:c r="B6" s="3"/>
      <x:c r="C6" s="3"/>
      <x:c r="D6" s="3"/>
      <x:c r="E6" s="3"/>
      <x:c r="F6" s="3"/>
      <x:c r="G6" s="3"/>
      <x:c r="H6" s="3"/>
    </x:row>
    <x:row r="7" ht="25" customHeight="1">
      <x:c r="A7" s="3" t="str">
        <x:v>Manufactured SKU</x:v>
      </x:c>
      <x:c r="B7" s="11" t="str">
        <x:v>HC-BASE</x:v>
      </x:c>
      <x:c r="C7" s="3" t="str">
        <x:v>One physical product shared by the physical tiers</x:v>
      </x:c>
      <x:c r="D7" s="3"/>
      <x:c r="E7" s="3"/>
      <x:c r="F7" s="3"/>
      <x:c r="G7" s="3"/>
      <x:c r="H7" s="3"/>
    </x:row>
    <x:row r="8" ht="25" customHeight="1">
      <x:c r="A8" s="3" t="str">
        <x:v>Landed cost per unit</x:v>
      </x:c>
      <x:c r="B8" s="16" t="n">
        <x:v>14</x:v>
      </x:c>
      <x:c r="C8" s="3" t="str">
        <x:v>Factory price plus inbound freight and duties</x:v>
      </x:c>
      <x:c r="D8" s="3"/>
      <x:c r="E8" s="3"/>
      <x:c r="F8" s="3"/>
      <x:c r="G8" s="3"/>
      <x:c r="H8" s="3"/>
    </x:row>
    <x:row r="9" ht="25" customHeight="1">
      <x:c r="A9" s="3" t="str">
        <x:v>Minimum order quantity</x:v>
      </x:c>
      <x:c r="B9" s="11" t="n">
        <x:v>500</x:v>
      </x:c>
      <x:c r="C9" s="3" t="str">
        <x:v>Supplier minimum</x:v>
      </x:c>
      <x:c r="D9" s="3"/>
      <x:c r="E9" s="3"/>
      <x:c r="F9" s="3"/>
      <x:c r="G9" s="3"/>
      <x:c r="H9" s="3"/>
    </x:row>
    <x:row r="10" ht="25" customHeight="1">
      <x:c r="A10" s="3" t="str">
        <x:v>Order increment</x:v>
      </x:c>
      <x:c r="B10" s="11" t="n">
        <x:v>1</x:v>
      </x:c>
      <x:c r="C10" s="3" t="str">
        <x:v>Supplier quantity step; must be at least 1</x:v>
      </x:c>
      <x:c r="D10" s="3"/>
      <x:c r="E10" s="3"/>
      <x:c r="F10" s="3"/>
      <x:c r="G10" s="3"/>
      <x:c r="H10" s="3"/>
    </x:row>
    <x:row r="11" ht="25" customHeight="1">
      <x:c r="A11" s="3" t="str">
        <x:v>Spare units</x:v>
      </x:c>
      <x:c r="B11" s="11" t="n">
        <x:v>0</x:v>
      </x:c>
      <x:c r="C11" s="3" t="str">
        <x:v>Units held for replacements</x:v>
      </x:c>
      <x:c r="D11" s="3"/>
      <x:c r="E11" s="3"/>
      <x:c r="F11" s="3"/>
      <x:c r="G11" s="3"/>
      <x:c r="H11" s="3"/>
    </x:row>
    <x:row r="12" ht="25" customHeight="1">
      <x:c r="A12" s="3" t="str">
        <x:v>Quote date</x:v>
      </x:c>
      <x:c r="B12" s="12" t="d">
        <x:v>2026-10-29T00:00:00.000Z</x:v>
      </x:c>
      <x:c r="C12" s="3" t="str">
        <x:v>Fictional example date</x:v>
      </x:c>
      <x:c r="D12" s="3"/>
      <x:c r="E12" s="3"/>
      <x:c r="F12" s="3"/>
      <x:c r="G12" s="3"/>
      <x:c r="H12" s="3"/>
    </x:row>
    <x:row r="13" ht="25" customHeight="1">
      <x:c r="A13" s="3" t="str">
        <x:v>Quote expiry</x:v>
      </x:c>
      <x:c r="B13" s="12" t="d">
        <x:v>2026-11-29T00:00:00.000Z</x:v>
      </x:c>
      <x:c r="C13" s="3" t="str">
        <x:v>Replace with supplier terms</x:v>
      </x:c>
      <x:c r="D13" s="3"/>
      <x:c r="E13" s="3"/>
      <x:c r="F13" s="3"/>
      <x:c r="G13" s="3"/>
      <x:c r="H13" s="3"/>
    </x:row>
    <x:row r="14" ht="25" customHeight="1">
      <x:c r="A14" s="3"/>
      <x:c r="B14" s="3"/>
      <x:c r="C14" s="3"/>
      <x:c r="D14" s="3"/>
      <x:c r="E14" s="3"/>
      <x:c r="F14" s="3"/>
      <x:c r="G14" s="3"/>
      <x:c r="H14" s="3"/>
    </x:row>
    <x:row r="15" ht="25" customHeight="1">
      <x:c r="A15" s="3"/>
      <x:c r="B15" s="3"/>
      <x:c r="C15" s="3"/>
      <x:c r="D15" s="3"/>
      <x:c r="E15" s="3"/>
      <x:c r="F15" s="3"/>
      <x:c r="G15" s="3"/>
      <x:c r="H15" s="3"/>
    </x:row>
    <x:row r="16" ht="39" customHeight="1">
      <x:c r="A16" s="21" t="str">
        <x:v>Fixed work</x:v>
      </x:c>
      <x:c r="B16" s="21" t="str">
        <x:v>Amount</x:v>
      </x:c>
      <x:c r="C16" s="21" t="str">
        <x:v>Basis and evidence</x:v>
      </x:c>
      <x:c r="D16" s="3"/>
      <x:c r="E16" s="3"/>
      <x:c r="F16" s="3"/>
      <x:c r="G16" s="3"/>
      <x:c r="H16" s="3"/>
    </x:row>
    <x:row r="17" ht="44" customHeight="1">
      <x:c r="A17" s="22" t="str">
        <x:v>Art and graphic design</x:v>
      </x:c>
      <x:c r="B17" s="40" t="n">
        <x:v>2500</x:v>
      </x:c>
      <x:c r="C17" s="24" t="str">
        <x:v>Fictional estimate; replace with quote</x:v>
      </x:c>
      <x:c r="D17" s="3"/>
      <x:c r="E17" s="3"/>
      <x:c r="F17" s="3"/>
      <x:c r="G17" s="3"/>
      <x:c r="H17" s="3"/>
    </x:row>
    <x:row r="18" ht="44" customHeight="1">
      <x:c r="A18" s="31" t="str">
        <x:v>Development and testing</x:v>
      </x:c>
      <x:c r="B18" s="41" t="n">
        <x:v>1500</x:v>
      </x:c>
      <x:c r="C18" s="33" t="str">
        <x:v>Include prototypes, proofs and testing</x:v>
      </x:c>
      <x:c r="D18" s="3"/>
      <x:c r="E18" s="3"/>
      <x:c r="F18" s="3"/>
      <x:c r="G18" s="3"/>
      <x:c r="H18" s="3"/>
    </x:row>
    <x:row r="19" ht="44" customHeight="1">
      <x:c r="A19" s="25" t="str">
        <x:v>Editing and rules</x:v>
      </x:c>
      <x:c r="B19" s="41" t="n">
        <x:v>1000</x:v>
      </x:c>
      <x:c r="C19" s="27" t="str">
        <x:v>Include rulebook or text editing</x:v>
      </x:c>
      <x:c r="D19" s="3"/>
      <x:c r="E19" s="3"/>
      <x:c r="F19" s="3"/>
      <x:c r="G19" s="3"/>
      <x:c r="H19" s="3"/>
    </x:row>
    <x:row r="20" ht="44" customHeight="1">
      <x:c r="A20" s="31" t="str">
        <x:v>Prelaunch marketing</x:v>
      </x:c>
      <x:c r="B20" s="41" t="n">
        <x:v>1000</x:v>
      </x:c>
      <x:c r="C20" s="33" t="str">
        <x:v>A budget cap, not a promise of demand</x:v>
      </x:c>
      <x:c r="D20" s="3"/>
      <x:c r="E20" s="3"/>
      <x:c r="F20" s="3"/>
      <x:c r="G20" s="3"/>
      <x:c r="H20" s="3"/>
    </x:row>
    <x:row r="21" ht="44" customHeight="1">
      <x:c r="A21" s="28" t="str">
        <x:v>Other fixed work</x:v>
      </x:c>
      <x:c r="B21" s="42" t="n">
        <x:v>0</x:v>
      </x:c>
      <x:c r="C21" s="30" t="str">
        <x:v>Licensing, tooling or other committed work</x:v>
      </x:c>
      <x:c r="D21" s="3"/>
      <x:c r="E21" s="3"/>
      <x:c r="F21" s="3"/>
      <x:c r="G21" s="3"/>
      <x:c r="H21" s="3"/>
    </x:row>
    <x:row r="22" ht="25" customHeight="1">
      <x:c r="A22" s="3"/>
      <x:c r="B22" s="3"/>
      <x:c r="C22" s="3"/>
      <x:c r="D22" s="3"/>
      <x:c r="E22" s="3"/>
      <x:c r="F22" s="3"/>
      <x:c r="G22" s="3"/>
      <x:c r="H22" s="3"/>
    </x:row>
    <x:row r="23" ht="25" customHeight="1">
      <x:c r="A23" s="3" t="str">
        <x:v>Total fixed costs</x:v>
      </x:c>
      <x:c r="B23" s="43" t="n">
        <x:f>SUM(B17:B21)</x:f>
        <x:v>6000</x:v>
      </x:c>
      <x:c r="C23" s="3"/>
      <x:c r="D23" s="3"/>
      <x:c r="E23" s="3"/>
      <x:c r="F23" s="3"/>
      <x:c r="G23" s="3"/>
      <x:c r="H23" s="3"/>
    </x:row>
    <x:row r="24" ht="25" customHeight="1">
      <x:c r="A24" s="3"/>
      <x:c r="B24" s="3"/>
      <x:c r="C24" s="3"/>
      <x:c r="D24" s="3"/>
      <x:c r="E24" s="3"/>
      <x:c r="F24" s="3"/>
      <x:c r="G24" s="3"/>
      <x:c r="H24" s="3"/>
    </x:row>
    <x:row r="25" ht="25" customHeight="1">
      <x:c r="A25" s="3"/>
      <x:c r="B25" s="3"/>
      <x:c r="C25" s="3"/>
      <x:c r="D25" s="3"/>
      <x:c r="E25" s="3"/>
      <x:c r="F25" s="3"/>
      <x:c r="G25" s="3"/>
      <x:c r="H25" s="3"/>
    </x:row>
    <x:row r="26" ht="39" customHeight="1">
      <x:c r="A26" s="21" t="str">
        <x:v>Supplier comparison</x:v>
      </x:c>
      <x:c r="B26" s="21" t="str">
        <x:v>Currency</x:v>
      </x:c>
      <x:c r="C26" s="21" t="str">
        <x:v>Quote total</x:v>
      </x:c>
      <x:c r="D26" s="21" t="str">
        <x:v>Scope</x:v>
      </x:c>
      <x:c r="E26" s="21" t="str">
        <x:v>Incoterm</x:v>
      </x:c>
      <x:c r="F26" s="21" t="str">
        <x:v>Lead time</x:v>
      </x:c>
      <x:c r="G26" s="21" t="str">
        <x:v>Expiry</x:v>
      </x:c>
      <x:c r="H26" s="21" t="str">
        <x:v>Next action</x:v>
      </x:c>
    </x:row>
    <x:row r="27" ht="44" customHeight="1">
      <x:c r="A27" s="51" t="str">
        <x:v>Supplier A</x:v>
      </x:c>
      <x:c r="B27" s="37" t="str">
        <x:v>USD</x:v>
      </x:c>
      <x:c r="C27" s="37" t="n">
        <x:v>0</x:v>
      </x:c>
      <x:c r="D27" s="37" t="str">
        <x:v>Enter written quote</x:v>
      </x:c>
      <x:c r="E27" s="37" t="str">
        <x:v>Confirm</x:v>
      </x:c>
      <x:c r="F27" s="37" t="str">
        <x:v>Confirm</x:v>
      </x:c>
      <x:c r="G27" s="37" t="str">
        <x:v>Confirm</x:v>
      </x:c>
      <x:c r="H27" s="52" t="str">
        <x:v>Request excluded costs</x:v>
      </x:c>
    </x:row>
    <x:row r="28" ht="44" customHeight="1">
      <x:c r="A28" s="53" t="str">
        <x:v>Supplier B</x:v>
      </x:c>
      <x:c r="B28" s="39" t="str">
        <x:v>USD</x:v>
      </x:c>
      <x:c r="C28" s="39" t="n">
        <x:v>0</x:v>
      </x:c>
      <x:c r="D28" s="39" t="str">
        <x:v>Enter written quote</x:v>
      </x:c>
      <x:c r="E28" s="39" t="str">
        <x:v>Confirm</x:v>
      </x:c>
      <x:c r="F28" s="39" t="str">
        <x:v>Confirm</x:v>
      </x:c>
      <x:c r="G28" s="39" t="str">
        <x:v>Confirm</x:v>
      </x:c>
      <x:c r="H28" s="54" t="str">
        <x:v>Ask about proof and QC</x:v>
      </x:c>
    </x:row>
    <x:row r="29" ht="25" customHeight="1">
      <x:c r="A29" s="3"/>
      <x:c r="B29" s="3"/>
      <x:c r="C29" s="3"/>
      <x:c r="D29" s="3"/>
      <x:c r="E29" s="3"/>
      <x:c r="F29" s="3"/>
      <x:c r="G29" s="3"/>
      <x:c r="H29" s="3"/>
    </x:row>
    <x:row r="30" ht="25" customHeight="1">
      <x:c r="A30" s="3"/>
      <x:c r="B30" s="3"/>
      <x:c r="C30" s="3"/>
      <x:c r="D30" s="3"/>
      <x:c r="E30" s="3"/>
      <x:c r="F30" s="3"/>
      <x:c r="G30" s="3"/>
      <x:c r="H30" s="3"/>
    </x:row>
    <x:row r="31" ht="25" customHeight="1">
      <x:c r="A31" s="3"/>
      <x:c r="B31" s="3"/>
      <x:c r="C31" s="3"/>
      <x:c r="D31" s="3"/>
      <x:c r="E31" s="3"/>
      <x:c r="F31" s="3"/>
      <x:c r="G31" s="3"/>
      <x:c r="H31" s="3"/>
    </x:row>
    <x:row r="32" ht="25" customHeight="1">
      <x:c r="A32" s="3"/>
      <x:c r="B32" s="3"/>
      <x:c r="C32" s="3"/>
      <x:c r="D32" s="3"/>
      <x:c r="E32" s="3"/>
      <x:c r="F32" s="3"/>
      <x:c r="G32" s="3"/>
      <x:c r="H32" s="3"/>
    </x:row>
    <x:row r="33" ht="25" customHeight="1">
      <x:c r="A33" s="3"/>
      <x:c r="B33" s="3"/>
      <x:c r="C33" s="3"/>
      <x:c r="D33" s="3"/>
      <x:c r="E33" s="3"/>
      <x:c r="F33" s="3"/>
      <x:c r="G33" s="3"/>
      <x:c r="H33" s="3"/>
    </x:row>
    <x:row r="34" ht="25" customHeight="1">
      <x:c r="A34" s="3"/>
      <x:c r="B34" s="3"/>
      <x:c r="C34" s="3"/>
      <x:c r="D34" s="3"/>
      <x:c r="E34" s="3"/>
      <x:c r="F34" s="3"/>
      <x:c r="G34" s="3"/>
      <x:c r="H34" s="3"/>
    </x:row>
    <x:row r="35" ht="25" customHeight="1">
      <x:c r="A35" s="3"/>
      <x:c r="B35" s="3"/>
      <x:c r="C35" s="3"/>
      <x:c r="D35" s="3"/>
      <x:c r="E35" s="3"/>
      <x:c r="F35" s="3"/>
      <x:c r="G35" s="3"/>
      <x:c r="H35" s="3"/>
    </x:row>
  </x:sheetData>
  <x:mergeCells>
    <x:mergeCell ref="A1:H2"/>
    <x:mergeCell ref="A3:H4"/>
  </x:mergeCells>
  <x:dataValidations count="3">
    <x:dataValidation type="whole" operator="between" sqref="B9">
      <x:formula1>0</x:formula1>
      <x:formula2>10000000</x:formula2>
    </x:dataValidation>
    <x:dataValidation type="whole" operator="between" sqref="B11">
      <x:formula1>0</x:formula1>
      <x:formula2>10000000</x:formula2>
    </x:dataValidation>
    <x:dataValidation type="whole" operator="between" sqref="B10">
      <x:formula1>1</x:formula1>
      <x:formula2>10000000</x:formula2>
    </x:dataValidation>
  </x:dataValidations>
  <x:pageMargins left="0.7" right="0.7" top="0.75" bottom="0.75" header="0.3" footer="0.3"/>
  <x:tableParts count="2">
    <x:tablePart xmlns:r="http://schemas.openxmlformats.org/officeDocument/2006/relationships" r:id="R720c659c095f4910"/>
    <x:tablePart xmlns:r="http://schemas.openxmlformats.org/officeDocument/2006/relationships" r:id="R3be8a4458eeb47cb"/>
  </x:tableParts>
</x:worksheet>
</file>

<file path=xl/worksheets/sheet5.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24" hidden="0" customWidth="1"/>
    <x:col min="2" max="2" width="12" hidden="0" customWidth="1"/>
    <x:col min="3" max="3" width="16" hidden="0" customWidth="1"/>
    <x:col min="4" max="4" width="16" hidden="0" customWidth="1"/>
    <x:col min="5" max="5" width="16" hidden="0" customWidth="1"/>
    <x:col min="6" max="6" width="12" hidden="0" customWidth="1"/>
    <x:col min="7" max="7" width="20" hidden="0" customWidth="1"/>
    <x:col min="8" max="8" width="16" hidden="0" customWidth="1"/>
    <x:col min="9" max="9" width="20" hidden="0" customWidth="1"/>
    <x:col min="10" max="10" width="55" hidden="0" customWidth="1"/>
  </x:cols>
  <x:sheetData>
    <x:row r="1" ht="25" customHeight="1">
      <x:c r="A1" s="7" t="str">
        <x:v>Shipping zones and collection</x:v>
      </x:c>
      <x:c r="B1" s="4"/>
      <x:c r="C1" s="4"/>
      <x:c r="D1" s="4"/>
      <x:c r="E1" s="4"/>
      <x:c r="F1" s="4"/>
      <x:c r="G1" s="4"/>
      <x:c r="H1" s="4"/>
      <x:c r="I1" s="4"/>
      <x:c r="J1" s="4"/>
    </x:row>
    <x:row r="2" ht="25" customHeight="1">
      <x:c r="A2" s="4"/>
      <x:c r="B2" s="4"/>
      <x:c r="C2" s="4"/>
      <x:c r="D2" s="4"/>
      <x:c r="E2" s="4"/>
      <x:c r="F2" s="4"/>
      <x:c r="G2" s="4"/>
      <x:c r="H2" s="4"/>
      <x:c r="I2" s="4"/>
      <x:c r="J2" s="4"/>
    </x:row>
    <x:row r="3" ht="25" customHeight="1">
      <x:c r="A3" s="9" t="str">
        <x:v>Zone mix is the expected share of physical backers. All example rates are invented. Later shipping receipts never become money available for an earlier deposit.</x:v>
      </x:c>
      <x:c r="B3" s="9"/>
      <x:c r="C3" s="9"/>
      <x:c r="D3" s="9"/>
      <x:c r="E3" s="9"/>
      <x:c r="F3" s="9"/>
      <x:c r="G3" s="9"/>
      <x:c r="H3" s="9"/>
      <x:c r="I3" s="9"/>
      <x:c r="J3" s="9"/>
    </x:row>
    <x:row r="4" ht="25" customHeight="1">
      <x:c r="A4" s="9"/>
      <x:c r="B4" s="9"/>
      <x:c r="C4" s="9"/>
      <x:c r="D4" s="9"/>
      <x:c r="E4" s="9"/>
      <x:c r="F4" s="9"/>
      <x:c r="G4" s="9"/>
      <x:c r="H4" s="9"/>
      <x:c r="I4" s="9"/>
      <x:c r="J4" s="9"/>
    </x:row>
    <x:row r="5" ht="25" customHeight="1">
      <x:c r="A5" s="3" t="str">
        <x:v>Selected case</x:v>
      </x:c>
      <x:c r="B5" s="17" t="str">
        <x:f>Start!B8</x:f>
        <x:v>Base</x:v>
      </x:c>
      <x:c r="C5" s="3"/>
      <x:c r="D5" s="3"/>
      <x:c r="E5" s="3"/>
      <x:c r="F5" s="3"/>
      <x:c r="G5" s="3"/>
      <x:c r="H5" s="3"/>
      <x:c r="I5" s="3"/>
      <x:c r="J5" s="3"/>
    </x:row>
    <x:row r="6" ht="25" customHeight="1">
      <x:c r="A6" s="3"/>
      <x:c r="B6" s="3"/>
      <x:c r="C6" s="3"/>
      <x:c r="D6" s="3"/>
      <x:c r="E6" s="3"/>
      <x:c r="F6" s="3"/>
      <x:c r="G6" s="3"/>
      <x:c r="H6" s="3"/>
      <x:c r="I6" s="3"/>
      <x:c r="J6" s="3"/>
    </x:row>
    <x:row r="7" ht="39" customHeight="1">
      <x:c r="A7" s="21" t="str">
        <x:v>Zone</x:v>
      </x:c>
      <x:c r="B7" s="21" t="str">
        <x:v>Mix</x:v>
      </x:c>
      <x:c r="C7" s="21" t="str">
        <x:v>Postage</x:v>
      </x:c>
      <x:c r="D7" s="21" t="str">
        <x:v>Pick and pack</x:v>
      </x:c>
      <x:c r="E7" s="21" t="str">
        <x:v>Packaging</x:v>
      </x:c>
      <x:c r="F7" s="21" t="str">
        <x:v>Buffer</x:v>
      </x:c>
      <x:c r="G7" s="21" t="str">
        <x:v>Cost per backer</x:v>
      </x:c>
      <x:c r="H7" s="21" t="str">
        <x:v>Charge</x:v>
      </x:c>
      <x:c r="I7" s="21" t="str">
        <x:v>Quote date</x:v>
      </x:c>
      <x:c r="J7" s="21" t="str">
        <x:v>Evidence and limits</x:v>
      </x:c>
    </x:row>
    <x:row r="8" ht="44" customHeight="1">
      <x:c r="A8" s="22" t="str">
        <x:v>Domestic</x:v>
      </x:c>
      <x:c r="B8" s="61" t="n">
        <x:v>0.65</x:v>
      </x:c>
      <x:c r="C8" s="40" t="n">
        <x:v>6</x:v>
      </x:c>
      <x:c r="D8" s="40" t="n">
        <x:v>2</x:v>
      </x:c>
      <x:c r="E8" s="40" t="n">
        <x:v>1</x:v>
      </x:c>
      <x:c r="F8" s="61" t="n">
        <x:v>0.1</x:v>
      </x:c>
      <x:c r="G8" s="64" t="n">
        <x:f>SUM(C8:E8)*(1+F8)</x:f>
        <x:v>9.9</x:v>
      </x:c>
      <x:c r="H8" s="40" t="n">
        <x:v>12</x:v>
      </x:c>
      <x:c r="I8" s="37" t="str">
        <x:v>Unconfirmed</x:v>
      </x:c>
      <x:c r="J8" s="52" t="str">
        <x:v>One parcel with one physical reward</x:v>
      </x:c>
    </x:row>
    <x:row r="9" ht="44" customHeight="1">
      <x:c r="A9" s="31" t="str">
        <x:v>Canada</x:v>
      </x:c>
      <x:c r="B9" s="62" t="n">
        <x:v>0.1</x:v>
      </x:c>
      <x:c r="C9" s="41" t="n">
        <x:v>12</x:v>
      </x:c>
      <x:c r="D9" s="41" t="n">
        <x:v>2</x:v>
      </x:c>
      <x:c r="E9" s="41" t="n">
        <x:v>1</x:v>
      </x:c>
      <x:c r="F9" s="62" t="n">
        <x:v>0.1</x:v>
      </x:c>
      <x:c r="G9" s="65" t="n">
        <x:f>SUM(C9:E9)*(1+F9)</x:f>
        <x:v>16.5</x:v>
      </x:c>
      <x:c r="H9" s="41" t="n">
        <x:v>20</x:v>
      </x:c>
      <x:c r="I9" s="38" t="str">
        <x:v>Unconfirmed</x:v>
      </x:c>
      <x:c r="J9" s="56" t="str">
        <x:v>Duties and taxes require separate decision</x:v>
      </x:c>
    </x:row>
    <x:row r="10" ht="44" customHeight="1">
      <x:c r="A10" s="25" t="str">
        <x:v>United Kingdom</x:v>
      </x:c>
      <x:c r="B10" s="62" t="n">
        <x:v>0.15</x:v>
      </x:c>
      <x:c r="C10" s="41" t="n">
        <x:v>15</x:v>
      </x:c>
      <x:c r="D10" s="41" t="n">
        <x:v>2</x:v>
      </x:c>
      <x:c r="E10" s="41" t="n">
        <x:v>1</x:v>
      </x:c>
      <x:c r="F10" s="62" t="n">
        <x:v>0.1</x:v>
      </x:c>
      <x:c r="G10" s="66" t="n">
        <x:f>SUM(C10:E10)*(1+F10)</x:f>
        <x:v>19.8</x:v>
      </x:c>
      <x:c r="H10" s="41" t="n">
        <x:v>25</x:v>
      </x:c>
      <x:c r="I10" s="38" t="str">
        <x:v>Unconfirmed</x:v>
      </x:c>
      <x:c r="J10" s="56" t="str">
        <x:v>Confirm VAT and import treatment</x:v>
      </x:c>
    </x:row>
    <x:row r="11" ht="44" customHeight="1">
      <x:c r="A11" s="31" t="str">
        <x:v>European Union</x:v>
      </x:c>
      <x:c r="B11" s="62" t="n">
        <x:v>0.1</x:v>
      </x:c>
      <x:c r="C11" s="41" t="n">
        <x:v>17</x:v>
      </x:c>
      <x:c r="D11" s="41" t="n">
        <x:v>2</x:v>
      </x:c>
      <x:c r="E11" s="41" t="n">
        <x:v>1</x:v>
      </x:c>
      <x:c r="F11" s="62" t="n">
        <x:v>0.1</x:v>
      </x:c>
      <x:c r="G11" s="65" t="n">
        <x:f>SUM(C11:E11)*(1+F11)</x:f>
        <x:v>22</x:v>
      </x:c>
      <x:c r="H11" s="41" t="n">
        <x:v>28</x:v>
      </x:c>
      <x:c r="I11" s="38" t="str">
        <x:v>Unconfirmed</x:v>
      </x:c>
      <x:c r="J11" s="56" t="str">
        <x:v>Confirm destination support</x:v>
      </x:c>
    </x:row>
    <x:row r="12" ht="44" customHeight="1">
      <x:c r="A12" s="28" t="str">
        <x:v>Other</x:v>
      </x:c>
      <x:c r="B12" s="63" t="n">
        <x:v>0</x:v>
      </x:c>
      <x:c r="C12" s="42" t="n">
        <x:v>0</x:v>
      </x:c>
      <x:c r="D12" s="42" t="n">
        <x:v>0</x:v>
      </x:c>
      <x:c r="E12" s="42" t="n">
        <x:v>0</x:v>
      </x:c>
      <x:c r="F12" s="63" t="n">
        <x:v>0</x:v>
      </x:c>
      <x:c r="G12" s="67" t="n">
        <x:f>SUM(C12:E12)*(1+F12)</x:f>
        <x:v>0</x:v>
      </x:c>
      <x:c r="H12" s="42" t="n">
        <x:v>0</x:v>
      </x:c>
      <x:c r="I12" s="39" t="str">
        <x:v>Unconfirmed</x:v>
      </x:c>
      <x:c r="J12" s="54" t="str">
        <x:v>Unsupported until quoted</x:v>
      </x:c>
    </x:row>
    <x:row r="13" ht="25" customHeight="1">
      <x:c r="A13" s="3"/>
      <x:c r="B13" s="3"/>
      <x:c r="C13" s="3"/>
      <x:c r="D13" s="3"/>
      <x:c r="E13" s="3"/>
      <x:c r="F13" s="3"/>
      <x:c r="G13" s="68"/>
      <x:c r="H13" s="68"/>
      <x:c r="I13" s="3"/>
      <x:c r="J13" s="3"/>
    </x:row>
    <x:row r="14" ht="25" customHeight="1">
      <x:c r="A14" s="3" t="str">
        <x:v>Zone mix total</x:v>
      </x:c>
      <x:c r="B14" s="15" t="n">
        <x:f>SUM(B8:B12)</x:f>
        <x:v>1</x:v>
      </x:c>
      <x:c r="C14" s="3"/>
      <x:c r="D14" s="3"/>
      <x:c r="E14" s="3"/>
      <x:c r="F14" s="3"/>
      <x:c r="G14" s="68"/>
      <x:c r="H14" s="68"/>
      <x:c r="I14" s="3"/>
      <x:c r="J14" s="3"/>
    </x:row>
    <x:row r="15" ht="25" customHeight="1">
      <x:c r="A15" s="3" t="str">
        <x:v>Weighted cost / charge</x:v>
      </x:c>
      <x:c r="B15" s="3"/>
      <x:c r="C15" s="3"/>
      <x:c r="D15" s="3"/>
      <x:c r="E15" s="3"/>
      <x:c r="F15" s="3"/>
      <x:c r="G15" s="43" t="n">
        <x:f>SUMPRODUCT(B8:B12,G8:G12)</x:f>
        <x:v>13.255000000000003</x:v>
      </x:c>
      <x:c r="H15" s="43" t="n">
        <x:f>SUMPRODUCT(B8:B12,H8:H12)</x:f>
        <x:v>16.35</x:v>
      </x:c>
      <x:c r="I15" s="3"/>
      <x:c r="J15" s="3"/>
    </x:row>
    <x:row r="16" ht="25" customHeight="1">
      <x:c r="A16" s="3"/>
      <x:c r="B16" s="3"/>
      <x:c r="C16" s="3"/>
      <x:c r="D16" s="3"/>
      <x:c r="E16" s="3"/>
      <x:c r="F16" s="3"/>
      <x:c r="G16" s="3"/>
      <x:c r="H16" s="3"/>
      <x:c r="I16" s="3"/>
      <x:c r="J16" s="3"/>
    </x:row>
    <x:row r="17" ht="25" customHeight="1">
      <x:c r="A17" s="3"/>
      <x:c r="B17" s="3"/>
      <x:c r="C17" s="3"/>
      <x:c r="D17" s="3"/>
      <x:c r="E17" s="3"/>
      <x:c r="F17" s="3"/>
      <x:c r="G17" s="3"/>
      <x:c r="H17" s="3"/>
      <x:c r="I17" s="3"/>
      <x:c r="J17" s="3"/>
    </x:row>
    <x:row r="18" ht="25" customHeight="1">
      <x:c r="A18" s="3" t="str">
        <x:v>Zone mix check</x:v>
      </x:c>
      <x:c r="B18" s="14" t="str">
        <x:f>IF(ABS(B14-1)&lt;0.000001,"OK","Mix must total 100%")</x:f>
        <x:v>OK</x:v>
      </x:c>
      <x:c r="C18" s="3"/>
      <x:c r="D18" s="3"/>
      <x:c r="E18" s="3"/>
      <x:c r="F18" s="3"/>
      <x:c r="G18" s="3"/>
      <x:c r="H18" s="3"/>
      <x:c r="I18" s="3"/>
      <x:c r="J18" s="3"/>
    </x:row>
    <x:row r="19" ht="25" customHeight="1">
      <x:c r="A19" s="3"/>
      <x:c r="B19" s="3"/>
      <x:c r="C19" s="3"/>
      <x:c r="D19" s="3"/>
      <x:c r="E19" s="3"/>
      <x:c r="F19" s="3"/>
      <x:c r="G19" s="3"/>
      <x:c r="H19" s="3"/>
      <x:c r="I19" s="3"/>
      <x:c r="J19" s="3"/>
    </x:row>
    <x:row r="20" ht="25" customHeight="1">
      <x:c r="A20" s="8" t="str">
        <x:v>Two copies may need a larger parcel. Put any incremental parcel cost in Rewards other cost, or replace the weighted cost with your actual tier quote. This starter model uses one weighted parcel per physical backer and does not calculate tariffs or VAT.</x:v>
      </x:c>
      <x:c r="B20" s="8"/>
      <x:c r="C20" s="8"/>
      <x:c r="D20" s="8"/>
      <x:c r="E20" s="8"/>
      <x:c r="F20" s="8"/>
      <x:c r="G20" s="8"/>
      <x:c r="H20" s="8"/>
      <x:c r="I20" s="8"/>
      <x:c r="J20" s="8"/>
    </x:row>
    <x:row r="21" ht="25" customHeight="1">
      <x:c r="A21" s="8"/>
      <x:c r="B21" s="8"/>
      <x:c r="C21" s="8"/>
      <x:c r="D21" s="8"/>
      <x:c r="E21" s="8"/>
      <x:c r="F21" s="8"/>
      <x:c r="G21" s="8"/>
      <x:c r="H21" s="8"/>
      <x:c r="I21" s="8"/>
      <x:c r="J21" s="8"/>
    </x:row>
    <x:row r="22" ht="25" customHeight="1">
      <x:c r="A22" s="8"/>
      <x:c r="B22" s="8"/>
      <x:c r="C22" s="8"/>
      <x:c r="D22" s="8"/>
      <x:c r="E22" s="8"/>
      <x:c r="F22" s="8"/>
      <x:c r="G22" s="8"/>
      <x:c r="H22" s="8"/>
      <x:c r="I22" s="8"/>
      <x:c r="J22" s="8"/>
    </x:row>
    <x:row r="23" ht="25" customHeight="1">
      <x:c r="A23" s="3"/>
      <x:c r="B23" s="3"/>
      <x:c r="C23" s="3"/>
      <x:c r="D23" s="3"/>
      <x:c r="E23" s="3"/>
      <x:c r="F23" s="3"/>
      <x:c r="G23" s="3"/>
      <x:c r="H23" s="3"/>
      <x:c r="I23" s="3"/>
      <x:c r="J23" s="3"/>
    </x:row>
    <x:row r="24" ht="25" customHeight="1">
      <x:c r="A24" s="3"/>
      <x:c r="B24" s="3"/>
      <x:c r="C24" s="3"/>
      <x:c r="D24" s="3"/>
      <x:c r="E24" s="3"/>
      <x:c r="F24" s="3"/>
      <x:c r="G24" s="3"/>
      <x:c r="H24" s="3"/>
      <x:c r="I24" s="3"/>
      <x:c r="J24" s="3"/>
    </x:row>
    <x:row r="25" ht="25" customHeight="1">
      <x:c r="A25" s="3"/>
      <x:c r="B25" s="3"/>
      <x:c r="C25" s="3"/>
      <x:c r="D25" s="3"/>
      <x:c r="E25" s="3"/>
      <x:c r="F25" s="3"/>
      <x:c r="G25" s="3"/>
      <x:c r="H25" s="3"/>
      <x:c r="I25" s="3"/>
      <x:c r="J25" s="3"/>
    </x:row>
    <x:row r="26" ht="25" customHeight="1">
      <x:c r="A26" s="3"/>
      <x:c r="B26" s="3"/>
      <x:c r="C26" s="3"/>
      <x:c r="D26" s="3"/>
      <x:c r="E26" s="3"/>
      <x:c r="F26" s="3"/>
      <x:c r="G26" s="3"/>
      <x:c r="H26" s="3"/>
      <x:c r="I26" s="3"/>
      <x:c r="J26" s="3"/>
    </x:row>
  </x:sheetData>
  <x:mergeCells>
    <x:mergeCell ref="A1:J2"/>
    <x:mergeCell ref="A3:J4"/>
    <x:mergeCell ref="A20:J22"/>
  </x:mergeCells>
  <x:pageMargins left="0.7" right="0.7" top="0.75" bottom="0.75" header="0.3" footer="0.3"/>
  <x:tableParts count="1">
    <x:tablePart xmlns:r="http://schemas.openxmlformats.org/officeDocument/2006/relationships" r:id="R88d7047d8cb3452a"/>
  </x:tableParts>
</x:worksheet>
</file>

<file path=xl/worksheets/sheet6.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19" hidden="0" customWidth="1"/>
    <x:col min="2" max="2" width="34" hidden="0" customWidth="1"/>
    <x:col min="3" max="3" width="22" hidden="0" customWidth="1"/>
    <x:col min="4" max="4" width="22" hidden="0" customWidth="1"/>
    <x:col min="5" max="5" width="22" hidden="0" customWidth="1"/>
    <x:col min="6" max="6" width="22" hidden="0" customWidth="1"/>
    <x:col min="7" max="7" width="58" hidden="0" customWidth="1"/>
  </x:cols>
  <x:sheetData>
    <x:row r="1" ht="25" customHeight="1">
      <x:c r="A1" s="7" t="str">
        <x:v>Cash calendar</x:v>
      </x:c>
      <x:c r="B1" s="4"/>
      <x:c r="C1" s="4"/>
      <x:c r="D1" s="4"/>
      <x:c r="E1" s="4"/>
      <x:c r="F1" s="4"/>
      <x:c r="G1" s="4"/>
    </x:row>
    <x:row r="2" ht="25" customHeight="1">
      <x:c r="A2" s="4"/>
      <x:c r="B2" s="4"/>
      <x:c r="C2" s="4"/>
      <x:c r="D2" s="4"/>
      <x:c r="E2" s="4"/>
      <x:c r="F2" s="4"/>
      <x:c r="G2" s="4"/>
    </x:row>
    <x:row r="3" ht="25" customHeight="1">
      <x:c r="A3" s="9" t="str">
        <x:v>Replace demo dates with supplier terms and payout expectations. Enter extra payments in blue rows. Positive amounts only. The lowest balance is the amount you must finance before proceeding.</x:v>
      </x:c>
      <x:c r="B3" s="9"/>
      <x:c r="C3" s="9"/>
      <x:c r="D3" s="9"/>
      <x:c r="E3" s="9"/>
      <x:c r="F3" s="9"/>
      <x:c r="G3" s="9"/>
    </x:row>
    <x:row r="4" ht="25" customHeight="1">
      <x:c r="A4" s="9"/>
      <x:c r="B4" s="9"/>
      <x:c r="C4" s="9"/>
      <x:c r="D4" s="9"/>
      <x:c r="E4" s="9"/>
      <x:c r="F4" s="9"/>
      <x:c r="G4" s="9"/>
    </x:row>
    <x:row r="5" ht="25" customHeight="1">
      <x:c r="A5" s="3" t="str">
        <x:v>Selected case</x:v>
      </x:c>
      <x:c r="B5" s="17" t="str">
        <x:f>Start!B8</x:f>
        <x:v>Base</x:v>
      </x:c>
      <x:c r="C5" s="3"/>
      <x:c r="D5" s="3"/>
      <x:c r="E5" s="3"/>
      <x:c r="F5" s="3"/>
      <x:c r="G5" s="3"/>
    </x:row>
    <x:row r="6" ht="25" customHeight="1">
      <x:c r="A6" s="3"/>
      <x:c r="B6" s="3"/>
      <x:c r="C6" s="3"/>
      <x:c r="D6" s="3"/>
      <x:c r="E6" s="3"/>
      <x:c r="F6" s="3"/>
      <x:c r="G6" s="3"/>
    </x:row>
    <x:row r="7" ht="39" customHeight="1">
      <x:c r="A7" s="21" t="str">
        <x:v>Date</x:v>
      </x:c>
      <x:c r="B7" s="21" t="str">
        <x:v>Event</x:v>
      </x:c>
      <x:c r="C7" s="21" t="str">
        <x:v>Cash received</x:v>
      </x:c>
      <x:c r="D7" s="21" t="str">
        <x:v>Cash paid</x:v>
      </x:c>
      <x:c r="E7" s="21" t="str">
        <x:v>Opening cash</x:v>
      </x:c>
      <x:c r="F7" s="21" t="str">
        <x:v>Closing cash</x:v>
      </x:c>
      <x:c r="G7" s="21" t="str">
        <x:v>Basis</x:v>
      </x:c>
    </x:row>
    <x:row r="8" ht="44" customHeight="1">
      <x:c r="A8" s="119" t="n">
        <x:f>Start!B7+-60</x:f>
        <x:v>46388</x:v>
      </x:c>
      <x:c r="B8" s="37" t="str">
        <x:v>Art and development deposits</x:v>
      </x:c>
      <x:c r="C8" s="71" t="n">
        <x:v>0</x:v>
      </x:c>
      <x:c r="D8" s="77" t="n">
        <x:f>Costs!B23*0.5</x:f>
        <x:v>3000</x:v>
      </x:c>
      <x:c r="E8" s="77" t="n">
        <x:f>Start!B13</x:f>
        <x:v>2000</x:v>
      </x:c>
      <x:c r="F8" s="64" t="n">
        <x:f>E8+C8-D8</x:f>
        <x:v>-1000</x:v>
      </x:c>
      <x:c r="G8" s="24" t="str">
        <x:v>Half of fixed costs before launch</x:v>
      </x:c>
    </x:row>
    <x:row r="9" ht="44" customHeight="1">
      <x:c r="A9" s="120" t="n">
        <x:f>Start!B7+-14</x:f>
        <x:v>46434</x:v>
      </x:c>
      <x:c r="B9" s="38" t="str">
        <x:v>Remaining fixed work</x:v>
      </x:c>
      <x:c r="C9" s="73" t="n">
        <x:v>0</x:v>
      </x:c>
      <x:c r="D9" s="79" t="n">
        <x:f>Costs!B23*0.5</x:f>
        <x:v>3000</x:v>
      </x:c>
      <x:c r="E9" s="65" t="n">
        <x:f>F8</x:f>
        <x:v>-1000</x:v>
      </x:c>
      <x:c r="F9" s="65" t="n">
        <x:f>E9+C9-D9</x:f>
        <x:v>-4000</x:v>
      </x:c>
      <x:c r="G9" s="33" t="str">
        <x:v>Balance before launch</x:v>
      </x:c>
    </x:row>
    <x:row r="10" ht="44" customHeight="1">
      <x:c r="A10" s="120" t="n">
        <x:f>Start!B7+30+Start!B25</x:f>
        <x:v>46492</x:v>
      </x:c>
      <x:c r="B10" s="38" t="str">
        <x:v>Campaign payout</x:v>
      </x:c>
      <x:c r="C10" s="122" t="n">
        <x:f>Funding!B24</x:f>
        <x:v>17728.69</x:v>
      </x:c>
      <x:c r="D10" s="123" t="n">
        <x:v>0</x:v>
      </x:c>
      <x:c r="E10" s="66" t="n">
        <x:f>F9</x:f>
        <x:v>-4000</x:v>
      </x:c>
      <x:c r="F10" s="66" t="n">
        <x:f>E10+C10-D10</x:f>
        <x:v>13728.689999999999</x:v>
      </x:c>
      <x:c r="G10" s="27" t="str">
        <x:v>Expected receipts after campaign and payout lag</x:v>
      </x:c>
    </x:row>
    <x:row r="11" ht="44" customHeight="1">
      <x:c r="A11" s="120" t="n">
        <x:f>Start!B7+50</x:f>
        <x:v>46498</x:v>
      </x:c>
      <x:c r="B11" s="38" t="str">
        <x:v>Factory deposit</x:v>
      </x:c>
      <x:c r="C11" s="73" t="n">
        <x:v>0</x:v>
      </x:c>
      <x:c r="D11" s="79" t="n">
        <x:f>Funding!B17*0.5</x:f>
        <x:v>4025</x:v>
      </x:c>
      <x:c r="E11" s="65" t="n">
        <x:f>F10</x:f>
        <x:v>13728.689999999999</x:v>
      </x:c>
      <x:c r="F11" s="65" t="n">
        <x:f>E11+C11-D11</x:f>
        <x:v>9703.689999999999</x:v>
      </x:c>
      <x:c r="G11" s="33" t="str">
        <x:v>50% manufacturing deposit</x:v>
      </x:c>
    </x:row>
    <x:row r="12" ht="44" customHeight="1">
      <x:c r="A12" s="120" t="n">
        <x:f>Start!B7+110</x:f>
        <x:v>46558</x:v>
      </x:c>
      <x:c r="B12" s="38" t="str">
        <x:v>Factory balance</x:v>
      </x:c>
      <x:c r="C12" s="123" t="n">
        <x:v>0</x:v>
      </x:c>
      <x:c r="D12" s="122" t="n">
        <x:f>Funding!B17*0.5</x:f>
        <x:v>4025</x:v>
      </x:c>
      <x:c r="E12" s="66" t="n">
        <x:f>F11</x:f>
        <x:v>9703.689999999999</x:v>
      </x:c>
      <x:c r="F12" s="66" t="n">
        <x:f>E12+C12-D12</x:f>
        <x:v>5678.689999999999</x:v>
      </x:c>
      <x:c r="G12" s="27" t="str">
        <x:v>50% manufacturing balance</x:v>
      </x:c>
    </x:row>
    <x:row r="13" ht="44" customHeight="1">
      <x:c r="A13" s="120" t="n">
        <x:f>Start!B7+115</x:f>
        <x:v>46563</x:v>
      </x:c>
      <x:c r="B13" s="38" t="str">
        <x:v>Later shipping collection</x:v>
      </x:c>
      <x:c r="C13" s="79" t="n">
        <x:f>Funding!B25</x:f>
        <x:v>7090.728750000001</x:v>
      </x:c>
      <x:c r="D13" s="73" t="n">
        <x:v>0</x:v>
      </x:c>
      <x:c r="E13" s="65" t="n">
        <x:f>F12</x:f>
        <x:v>5678.689999999999</x:v>
      </x:c>
      <x:c r="F13" s="65" t="n">
        <x:f>E13+C13-D13</x:f>
        <x:v>12769.41875</x:v>
      </x:c>
      <x:c r="G13" s="33" t="str">
        <x:v>Separate later receipt, net of fees</x:v>
      </x:c>
    </x:row>
    <x:row r="14" ht="44" customHeight="1">
      <x:c r="A14" s="120" t="n">
        <x:f>Start!B7+120</x:f>
        <x:v>46568</x:v>
      </x:c>
      <x:c r="B14" s="38" t="str">
        <x:v>Other reward costs</x:v>
      </x:c>
      <x:c r="C14" s="123" t="n">
        <x:v>0</x:v>
      </x:c>
      <x:c r="D14" s="122" t="n">
        <x:f>Funding!B19</x:f>
        <x:v>1637.5</x:v>
      </x:c>
      <x:c r="E14" s="66" t="n">
        <x:f>F13</x:f>
        <x:v>12769.41875</x:v>
      </x:c>
      <x:c r="F14" s="66" t="n">
        <x:f>E14+C14-D14</x:f>
        <x:v>11131.91875</x:v>
      </x:c>
      <x:c r="G14" s="27" t="str">
        <x:v>Other per pledge costs</x:v>
      </x:c>
    </x:row>
    <x:row r="15" ht="44" customHeight="1">
      <x:c r="A15" s="120" t="n">
        <x:f>Start!B7+125</x:f>
        <x:v>46573</x:v>
      </x:c>
      <x:c r="B15" s="38" t="str">
        <x:v>Shipping and fulfillment</x:v>
      </x:c>
      <x:c r="C15" s="73" t="n">
        <x:v>0</x:v>
      </x:c>
      <x:c r="D15" s="79" t="n">
        <x:f>Funding!B20</x:f>
        <x:v>6296.125000000001</x:v>
      </x:c>
      <x:c r="E15" s="65" t="n">
        <x:f>F14</x:f>
        <x:v>11131.91875</x:v>
      </x:c>
      <x:c r="F15" s="65" t="n">
        <x:f>E15+C15-D15</x:f>
        <x:v>4835.79375</x:v>
      </x:c>
      <x:c r="G15" s="33" t="str">
        <x:v>Estimated postage and fulfillment</x:v>
      </x:c>
    </x:row>
    <x:row r="16" ht="44" customHeight="1">
      <x:c r="A16" s="120" t="n">
        <x:f>Start!B7+126</x:f>
        <x:v>46574</x:v>
      </x:c>
      <x:c r="B16" s="38" t="str">
        <x:v>Reserve cash held aside</x:v>
      </x:c>
      <x:c r="C16" s="123" t="n">
        <x:v>0</x:v>
      </x:c>
      <x:c r="D16" s="122" t="n">
        <x:f>SUM(Funding!B21:B22)</x:f>
        <x:v>2198.3625</x:v>
      </x:c>
      <x:c r="E16" s="66" t="n">
        <x:f>F15</x:f>
        <x:v>4835.79375</x:v>
      </x:c>
      <x:c r="F16" s="66" t="n">
        <x:f>E16+C16-D16</x:f>
        <x:v>2637.4312499999996</x:v>
      </x:c>
      <x:c r="G16" s="27" t="str">
        <x:v>Reserve treated as unavailable cash</x:v>
      </x:c>
    </x:row>
    <x:row r="17" ht="44" customHeight="1">
      <x:c r="A17" s="120" t="n">
        <x:f>Start!B7+130</x:f>
        <x:v>46578</x:v>
      </x:c>
      <x:c r="B17" s="38" t="str">
        <x:v>Additional receipt or payment</x:v>
      </x:c>
      <x:c r="C17" s="41" t="n">
        <x:v>0</x:v>
      </x:c>
      <x:c r="D17" s="41" t="n">
        <x:v>0</x:v>
      </x:c>
      <x:c r="E17" s="65" t="n">
        <x:f>F16</x:f>
        <x:v>2637.4312499999996</x:v>
      </x:c>
      <x:c r="F17" s="65" t="n">
        <x:f>E17+C17-D17</x:f>
        <x:v>2637.4312499999996</x:v>
      </x:c>
      <x:c r="G17" s="33" t="str">
        <x:v>Enter a real committed event</x:v>
      </x:c>
    </x:row>
    <x:row r="18" ht="44" customHeight="1">
      <x:c r="A18" s="121" t="n">
        <x:f>Start!B7+140</x:f>
        <x:v>46588</x:v>
      </x:c>
      <x:c r="B18" s="39" t="str">
        <x:v>Additional receipt or payment</x:v>
      </x:c>
      <x:c r="C18" s="42" t="n">
        <x:v>0</x:v>
      </x:c>
      <x:c r="D18" s="42" t="n">
        <x:v>0</x:v>
      </x:c>
      <x:c r="E18" s="67" t="n">
        <x:f>F17</x:f>
        <x:v>2637.4312499999996</x:v>
      </x:c>
      <x:c r="F18" s="67" t="n">
        <x:f>E18+C18-D18</x:f>
        <x:v>2637.4312499999996</x:v>
      </x:c>
      <x:c r="G18" s="30" t="str">
        <x:v>Keep dates chronological</x:v>
      </x:c>
    </x:row>
    <x:row r="19" ht="25" customHeight="1">
      <x:c r="A19" s="3"/>
      <x:c r="B19" s="3"/>
      <x:c r="C19" s="3"/>
      <x:c r="D19" s="3"/>
      <x:c r="E19" s="3"/>
      <x:c r="F19" s="3"/>
      <x:c r="G19" s="3"/>
    </x:row>
    <x:row r="20" ht="25" customHeight="1">
      <x:c r="A20" s="3"/>
      <x:c r="B20" s="3"/>
      <x:c r="C20" s="3"/>
      <x:c r="D20" s="3"/>
      <x:c r="E20" s="3"/>
      <x:c r="F20" s="3"/>
      <x:c r="G20" s="3"/>
    </x:row>
    <x:row r="21" ht="25" customHeight="1">
      <x:c r="A21" s="3" t="str">
        <x:v>Minimum cash balance</x:v>
      </x:c>
      <x:c r="B21" s="3"/>
      <x:c r="C21" s="108" t="n">
        <x:f>MIN(Start!B13,F8:F18)</x:f>
        <x:v>-4000</x:v>
      </x:c>
      <x:c r="D21" s="3"/>
      <x:c r="E21" s="3"/>
      <x:c r="F21" s="3"/>
      <x:c r="G21" s="3"/>
    </x:row>
    <x:row r="22" ht="25" customHeight="1">
      <x:c r="A22" s="3" t="str">
        <x:v>Additional cash needed</x:v>
      </x:c>
      <x:c r="B22" s="3"/>
      <x:c r="C22" s="43" t="n">
        <x:f>MAX(0,-C21)</x:f>
        <x:v>4000</x:v>
      </x:c>
      <x:c r="D22" s="3"/>
      <x:c r="E22" s="3"/>
      <x:c r="F22" s="3"/>
      <x:c r="G22" s="3"/>
    </x:row>
    <x:row r="23" ht="25" customHeight="1">
      <x:c r="A23" s="3" t="str">
        <x:v>Ending cash</x:v>
      </x:c>
      <x:c r="B23" s="3"/>
      <x:c r="C23" s="43" t="n">
        <x:f>F18</x:f>
        <x:v>2637.4312499999996</x:v>
      </x:c>
      <x:c r="D23" s="3"/>
      <x:c r="E23" s="3"/>
      <x:c r="F23" s="3"/>
      <x:c r="G23" s="3"/>
    </x:row>
    <x:row r="24" ht="25" customHeight="1">
      <x:c r="A24" s="3" t="str">
        <x:v>Date order check</x:v>
      </x:c>
      <x:c r="B24" s="3"/>
      <x:c r="C24" s="14" t="str">
        <x:f>IF(SUMPRODUCT(--(A9:A18&lt;A8:A17))&gt;0,"Reorder rows by date","Chronological")</x:f>
        <x:v>Chronological</x:v>
      </x:c>
      <x:c r="D24" s="3"/>
      <x:c r="E24" s="3"/>
      <x:c r="F24" s="3"/>
      <x:c r="G24" s="3"/>
    </x:row>
    <x:row r="25" ht="25" customHeight="1">
      <x:c r="A25" s="3"/>
      <x:c r="B25" s="3"/>
      <x:c r="C25" s="3"/>
      <x:c r="D25" s="3"/>
      <x:c r="E25" s="3"/>
      <x:c r="F25" s="3"/>
      <x:c r="G25" s="3"/>
    </x:row>
    <x:row r="26" ht="25" customHeight="1">
      <x:c r="A26" s="3" t="str">
        <x:v>Timing change</x:v>
      </x:c>
      <x:c r="B26" s="8" t="str">
        <x:v>Edit dates if deposits fall before payout. Do not sort only the date column.</x:v>
      </x:c>
      <x:c r="C26" s="8"/>
      <x:c r="D26" s="8"/>
      <x:c r="E26" s="8"/>
      <x:c r="F26" s="8"/>
      <x:c r="G26" s="8"/>
    </x:row>
    <x:row r="27" ht="25" customHeight="1">
      <x:c r="A27" s="3"/>
      <x:c r="B27" s="8"/>
      <x:c r="C27" s="8"/>
      <x:c r="D27" s="8"/>
      <x:c r="E27" s="8"/>
      <x:c r="F27" s="8"/>
      <x:c r="G27" s="8"/>
    </x:row>
    <x:row r="28" ht="25" customHeight="1">
      <x:c r="A28" s="3"/>
      <x:c r="B28" s="3"/>
      <x:c r="C28" s="3"/>
      <x:c r="D28" s="3"/>
      <x:c r="E28" s="3"/>
      <x:c r="F28" s="3"/>
      <x:c r="G28" s="3"/>
    </x:row>
    <x:row r="29" ht="25" customHeight="1">
      <x:c r="A29" s="3"/>
      <x:c r="B29" s="3"/>
      <x:c r="C29" s="3"/>
      <x:c r="D29" s="3"/>
      <x:c r="E29" s="3"/>
      <x:c r="F29" s="3"/>
      <x:c r="G29" s="3"/>
    </x:row>
    <x:row r="30" ht="25" customHeight="1">
      <x:c r="A30" s="3"/>
      <x:c r="B30" s="3"/>
      <x:c r="C30" s="3"/>
      <x:c r="D30" s="3"/>
      <x:c r="E30" s="3"/>
      <x:c r="F30" s="3"/>
      <x:c r="G30" s="3"/>
    </x:row>
  </x:sheetData>
  <x:mergeCells>
    <x:mergeCell ref="A1:G2"/>
    <x:mergeCell ref="A3:G4"/>
    <x:mergeCell ref="B26:G27"/>
  </x:mergeCells>
  <x:conditionalFormatting sqref="C21:C21">
    <x:cfRule type="cellIs" dxfId="2" priority="1" operator="lessThan">
      <x:formula>0</x:formula>
    </x:cfRule>
  </x:conditionalFormatting>
  <x:pageMargins left="0.7" right="0.7" top="0.75" bottom="0.75" header="0.3" footer="0.3"/>
  <x:tableParts count="1">
    <x:tablePart xmlns:r="http://schemas.openxmlformats.org/officeDocument/2006/relationships" r:id="R31493c6990144352"/>
  </x:tableParts>
</x:worksheet>
</file>

<file path=xl/worksheets/sheet7.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13" hidden="0" customWidth="1"/>
    <x:col min="2" max="2" width="19" hidden="0" customWidth="1"/>
    <x:col min="3" max="3" width="20" hidden="0" customWidth="1"/>
    <x:col min="4" max="4" width="19" hidden="0" customWidth="1"/>
    <x:col min="5" max="5" width="48" hidden="0" customWidth="1"/>
    <x:col min="6" max="6" width="22" hidden="0" customWidth="1"/>
    <x:col min="7" max="7" width="20" hidden="0" customWidth="1"/>
    <x:col min="8" max="8" width="56" hidden="0" customWidth="1"/>
    <x:col min="9" max="9" width="20" hidden="0" customWidth="1"/>
  </x:cols>
  <x:sheetData>
    <x:row r="1" ht="25" customHeight="1">
      <x:c r="A1" s="7" t="str">
        <x:v>Launch schedule and evidence</x:v>
      </x:c>
      <x:c r="B1" s="4"/>
      <x:c r="C1" s="4"/>
      <x:c r="D1" s="4"/>
      <x:c r="E1" s="4"/>
      <x:c r="F1" s="4"/>
      <x:c r="G1" s="4"/>
      <x:c r="H1" s="4"/>
      <x:c r="I1" s="4"/>
    </x:row>
    <x:row r="2" ht="25" customHeight="1">
      <x:c r="A2" s="4"/>
      <x:c r="B2" s="4"/>
      <x:c r="C2" s="4"/>
      <x:c r="D2" s="4"/>
      <x:c r="E2" s="4"/>
      <x:c r="F2" s="4"/>
      <x:c r="G2" s="4"/>
      <x:c r="H2" s="4"/>
      <x:c r="I2" s="4"/>
    </x:row>
    <x:row r="3" ht="25" customHeight="1">
      <x:c r="A3" s="9" t="str">
        <x:v>An editable 12 week runway. Dates do not prove readiness. Dependencies reference task IDs. Change owners, offsets and evidence to fit your project.</x:v>
      </x:c>
      <x:c r="B3" s="9"/>
      <x:c r="C3" s="9"/>
      <x:c r="D3" s="9"/>
      <x:c r="E3" s="9"/>
      <x:c r="F3" s="9"/>
      <x:c r="G3" s="9"/>
      <x:c r="H3" s="9"/>
      <x:c r="I3" s="9"/>
    </x:row>
    <x:row r="4" ht="25" customHeight="1">
      <x:c r="A4" s="9"/>
      <x:c r="B4" s="9"/>
      <x:c r="C4" s="9"/>
      <x:c r="D4" s="9"/>
      <x:c r="E4" s="9"/>
      <x:c r="F4" s="9"/>
      <x:c r="G4" s="9"/>
      <x:c r="H4" s="9"/>
      <x:c r="I4" s="9"/>
    </x:row>
    <x:row r="5" ht="25" customHeight="1">
      <x:c r="A5" s="3" t="str">
        <x:v>Selected case</x:v>
      </x:c>
      <x:c r="B5" s="17" t="str">
        <x:f>Start!B8</x:f>
        <x:v>Base</x:v>
      </x:c>
      <x:c r="C5" s="3"/>
      <x:c r="D5" s="3"/>
      <x:c r="E5" s="3"/>
      <x:c r="F5" s="3"/>
      <x:c r="G5" s="3"/>
      <x:c r="H5" s="3"/>
      <x:c r="I5" s="3"/>
    </x:row>
    <x:row r="6" ht="25" customHeight="1">
      <x:c r="A6" s="3"/>
      <x:c r="B6" s="3"/>
      <x:c r="C6" s="3"/>
      <x:c r="D6" s="3"/>
      <x:c r="E6" s="3"/>
      <x:c r="F6" s="3"/>
      <x:c r="G6" s="3"/>
      <x:c r="H6" s="3"/>
      <x:c r="I6" s="3"/>
    </x:row>
    <x:row r="7" ht="39" customHeight="1">
      <x:c r="A7" s="21" t="str">
        <x:v>Task ID</x:v>
      </x:c>
      <x:c r="B7" s="21" t="str">
        <x:v>Days from launch</x:v>
      </x:c>
      <x:c r="C7" s="21" t="str">
        <x:v>Due date</x:v>
      </x:c>
      <x:c r="D7" s="21" t="str">
        <x:v>Workstream</x:v>
      </x:c>
      <x:c r="E7" s="21" t="str">
        <x:v>Action</x:v>
      </x:c>
      <x:c r="F7" s="21" t="str">
        <x:v>Owner</x:v>
      </x:c>
      <x:c r="G7" s="21" t="str">
        <x:v>Depends on</x:v>
      </x:c>
      <x:c r="H7" s="21" t="str">
        <x:v>Evidence needed</x:v>
      </x:c>
      <x:c r="I7" s="21" t="str">
        <x:v>Status</x:v>
      </x:c>
    </x:row>
    <x:row r="8" ht="44" customHeight="1">
      <x:c r="A8" s="22" t="str">
        <x:v>P01</x:v>
      </x:c>
      <x:c r="B8" s="37" t="n">
        <x:v>-84</x:v>
      </x:c>
      <x:c r="C8" s="125" t="n">
        <x:f>Start!B7+B8</x:f>
        <x:v>46364</x:v>
      </x:c>
      <x:c r="D8" s="23" t="str">
        <x:v>Product</x:v>
      </x:c>
      <x:c r="E8" s="23" t="str">
        <x:v>Freeze testable prototype</x:v>
      </x:c>
      <x:c r="F8" s="37" t="str">
        <x:v>Creator</x:v>
      </x:c>
      <x:c r="G8" s="37" t="str">
        <x:v>None</x:v>
      </x:c>
      <x:c r="H8" s="37" t="str">
        <x:v>Rules and current prototype link</x:v>
      </x:c>
      <x:c r="I8" s="52" t="str">
        <x:v>Not started</x:v>
      </x:c>
    </x:row>
    <x:row r="9" ht="44" customHeight="1">
      <x:c r="A9" s="31" t="str">
        <x:v>P02</x:v>
      </x:c>
      <x:c r="B9" s="38" t="n">
        <x:v>-77</x:v>
      </x:c>
      <x:c r="C9" s="126" t="n">
        <x:f>Start!B7+B9</x:f>
        <x:v>46371</x:v>
      </x:c>
      <x:c r="D9" s="32" t="str">
        <x:v>Research</x:v>
      </x:c>
      <x:c r="E9" s="32" t="str">
        <x:v>Run observed playtests or fit tests</x:v>
      </x:c>
      <x:c r="F9" s="38" t="str">
        <x:v>Creator</x:v>
      </x:c>
      <x:c r="G9" s="38" t="str">
        <x:v>P01</x:v>
      </x:c>
      <x:c r="H9" s="38" t="str">
        <x:v>Notes, issues and retest</x:v>
      </x:c>
      <x:c r="I9" s="56" t="str">
        <x:v>Not started</x:v>
      </x:c>
    </x:row>
    <x:row r="10" ht="44" customHeight="1">
      <x:c r="A10" s="25" t="str">
        <x:v>P03</x:v>
      </x:c>
      <x:c r="B10" s="38" t="n">
        <x:v>-70</x:v>
      </x:c>
      <x:c r="C10" s="127" t="n">
        <x:f>Start!B7+B10</x:f>
        <x:v>46378</x:v>
      </x:c>
      <x:c r="D10" s="26" t="str">
        <x:v>Costs</x:v>
      </x:c>
      <x:c r="E10" s="26" t="str">
        <x:v>Request manufacturing and shipping quotes</x:v>
      </x:c>
      <x:c r="F10" s="38" t="str">
        <x:v>Operations</x:v>
      </x:c>
      <x:c r="G10" s="38" t="str">
        <x:v>P01</x:v>
      </x:c>
      <x:c r="H10" s="38" t="str">
        <x:v>Quote with MOQ, expiry and exclusions</x:v>
      </x:c>
      <x:c r="I10" s="56" t="str">
        <x:v>Not started</x:v>
      </x:c>
    </x:row>
    <x:row r="11" ht="44" customHeight="1">
      <x:c r="A11" s="31" t="str">
        <x:v>P04</x:v>
      </x:c>
      <x:c r="B11" s="38" t="n">
        <x:v>-63</x:v>
      </x:c>
      <x:c r="C11" s="126" t="n">
        <x:f>Start!B7+B11</x:f>
        <x:v>46385</x:v>
      </x:c>
      <x:c r="D11" s="32" t="str">
        <x:v>Positioning</x:v>
      </x:c>
      <x:c r="E11" s="32" t="str">
        <x:v>Choose one audience and product promise</x:v>
      </x:c>
      <x:c r="F11" s="38" t="str">
        <x:v>Creator</x:v>
      </x:c>
      <x:c r="G11" s="38" t="str">
        <x:v>P02</x:v>
      </x:c>
      <x:c r="H11" s="38" t="str">
        <x:v>One page creative brief</x:v>
      </x:c>
      <x:c r="I11" s="56" t="str">
        <x:v>Not started</x:v>
      </x:c>
    </x:row>
    <x:row r="12" ht="44" customHeight="1">
      <x:c r="A12" s="25" t="str">
        <x:v>P05</x:v>
      </x:c>
      <x:c r="B12" s="38" t="n">
        <x:v>-56</x:v>
      </x:c>
      <x:c r="C12" s="127" t="n">
        <x:f>Start!B7+B12</x:f>
        <x:v>46392</x:v>
      </x:c>
      <x:c r="D12" s="26" t="str">
        <x:v>Creative</x:v>
      </x:c>
      <x:c r="E12" s="26" t="str">
        <x:v>Capture real prototype and use footage</x:v>
      </x:c>
      <x:c r="F12" s="38" t="str">
        <x:v>Creative</x:v>
      </x:c>
      <x:c r="G12" s="38" t="str">
        <x:v>P01 P04</x:v>
      </x:c>
      <x:c r="H12" s="38" t="str">
        <x:v>Labelled prototype photos and video</x:v>
      </x:c>
      <x:c r="I12" s="56" t="str">
        <x:v>Not started</x:v>
      </x:c>
    </x:row>
    <x:row r="13" ht="44" customHeight="1">
      <x:c r="A13" s="31" t="str">
        <x:v>P06</x:v>
      </x:c>
      <x:c r="B13" s="38" t="n">
        <x:v>-49</x:v>
      </x:c>
      <x:c r="C13" s="126" t="n">
        <x:f>Start!B7+B13</x:f>
        <x:v>46399</x:v>
      </x:c>
      <x:c r="D13" s="32" t="str">
        <x:v>Audience</x:v>
      </x:c>
      <x:c r="E13" s="32" t="str">
        <x:v>Publish an opted in landing page</x:v>
      </x:c>
      <x:c r="F13" s="38" t="str">
        <x:v>Marketing</x:v>
      </x:c>
      <x:c r="G13" s="38" t="str">
        <x:v>P04 P05</x:v>
      </x:c>
      <x:c r="H13" s="38" t="str">
        <x:v>Signup and delivery verified</x:v>
      </x:c>
      <x:c r="I13" s="56" t="str">
        <x:v>Not started</x:v>
      </x:c>
    </x:row>
    <x:row r="14" ht="44" customHeight="1">
      <x:c r="A14" s="25" t="str">
        <x:v>P07</x:v>
      </x:c>
      <x:c r="B14" s="38" t="n">
        <x:v>-49</x:v>
      </x:c>
      <x:c r="C14" s="127" t="n">
        <x:f>Start!B7+B14</x:f>
        <x:v>46399</x:v>
      </x:c>
      <x:c r="D14" s="26" t="str">
        <x:v>Reviewers</x:v>
      </x:c>
      <x:c r="E14" s="26" t="str">
        <x:v>Offer relevant reviewers a prototype</x:v>
      </x:c>
      <x:c r="F14" s="38" t="str">
        <x:v>Marketing</x:v>
      </x:c>
      <x:c r="G14" s="38" t="str">
        <x:v>P01 P05</x:v>
      </x:c>
      <x:c r="H14" s="38" t="str">
        <x:v>Permission and agreed timing</x:v>
      </x:c>
      <x:c r="I14" s="56" t="str">
        <x:v>Not started</x:v>
      </x:c>
    </x:row>
    <x:row r="15" ht="44" customHeight="1">
      <x:c r="A15" s="31" t="str">
        <x:v>P08</x:v>
      </x:c>
      <x:c r="B15" s="38" t="n">
        <x:v>-42</x:v>
      </x:c>
      <x:c r="C15" s="126" t="n">
        <x:f>Start!B7+B15</x:f>
        <x:v>46406</x:v>
      </x:c>
      <x:c r="D15" s="32" t="str">
        <x:v>Ads</x:v>
      </x:c>
      <x:c r="E15" s="32" t="str">
        <x:v>Run a capped creative test</x:v>
      </x:c>
      <x:c r="F15" s="38" t="str">
        <x:v>Marketing</x:v>
      </x:c>
      <x:c r="G15" s="38" t="str">
        <x:v>P06</x:v>
      </x:c>
      <x:c r="H15" s="38" t="str">
        <x:v>Test record and decision</x:v>
      </x:c>
      <x:c r="I15" s="56" t="str">
        <x:v>Not started</x:v>
      </x:c>
    </x:row>
    <x:row r="16" ht="44" customHeight="1">
      <x:c r="A16" s="25" t="str">
        <x:v>P09</x:v>
      </x:c>
      <x:c r="B16" s="38" t="n">
        <x:v>-35</x:v>
      </x:c>
      <x:c r="C16" s="127" t="n">
        <x:f>Start!B7+B16</x:f>
        <x:v>46413</x:v>
      </x:c>
      <x:c r="D16" s="26" t="str">
        <x:v>Numbers</x:v>
      </x:c>
      <x:c r="E16" s="26" t="str">
        <x:v>Check tiers, MOQ and cash gap</x:v>
      </x:c>
      <x:c r="F16" s="38" t="str">
        <x:v>Creator</x:v>
      </x:c>
      <x:c r="G16" s="38" t="str">
        <x:v>P03 P08</x:v>
      </x:c>
      <x:c r="H16" s="38" t="str">
        <x:v>Funding and Cash reviewed</x:v>
      </x:c>
      <x:c r="I16" s="56" t="str">
        <x:v>Not started</x:v>
      </x:c>
    </x:row>
    <x:row r="17" ht="44" customHeight="1">
      <x:c r="A17" s="31" t="str">
        <x:v>P10</x:v>
      </x:c>
      <x:c r="B17" s="38" t="n">
        <x:v>-28</x:v>
      </x:c>
      <x:c r="C17" s="126" t="n">
        <x:f>Start!B7+B17</x:f>
        <x:v>46420</x:v>
      </x:c>
      <x:c r="D17" s="32" t="str">
        <x:v>Campaign</x:v>
      </x:c>
      <x:c r="E17" s="32" t="str">
        <x:v>Draft page, risks and rewards</x:v>
      </x:c>
      <x:c r="F17" s="38" t="str">
        <x:v>Creator</x:v>
      </x:c>
      <x:c r="G17" s="38" t="str">
        <x:v>P05 P09</x:v>
      </x:c>
      <x:c r="H17" s="38" t="str">
        <x:v>Editable campaign copy</x:v>
      </x:c>
      <x:c r="I17" s="56" t="str">
        <x:v>Not started</x:v>
      </x:c>
    </x:row>
    <x:row r="18" ht="44" customHeight="1">
      <x:c r="A18" s="25" t="str">
        <x:v>P11</x:v>
      </x:c>
      <x:c r="B18" s="38" t="n">
        <x:v>-21</x:v>
      </x:c>
      <x:c r="C18" s="127" t="n">
        <x:f>Start!B7+B18</x:f>
        <x:v>46427</x:v>
      </x:c>
      <x:c r="D18" s="26" t="str">
        <x:v>Platform</x:v>
      </x:c>
      <x:c r="E18" s="26" t="str">
        <x:v>Complete identity and submit review</x:v>
      </x:c>
      <x:c r="F18" s="38" t="str">
        <x:v>Creator</x:v>
      </x:c>
      <x:c r="G18" s="38" t="str">
        <x:v>P10</x:v>
      </x:c>
      <x:c r="H18" s="38" t="str">
        <x:v>Current platform status</x:v>
      </x:c>
      <x:c r="I18" s="56" t="str">
        <x:v>Not started</x:v>
      </x:c>
    </x:row>
    <x:row r="19" ht="44" customHeight="1">
      <x:c r="A19" s="31" t="str">
        <x:v>P12</x:v>
      </x:c>
      <x:c r="B19" s="38" t="n">
        <x:v>-14</x:v>
      </x:c>
      <x:c r="C19" s="126" t="n">
        <x:f>Start!B7+B19</x:f>
        <x:v>46434</x:v>
      </x:c>
      <x:c r="D19" s="32" t="str">
        <x:v>Operations</x:v>
      </x:c>
      <x:c r="E19" s="32" t="str">
        <x:v>Confirm delivery scope and help owner</x:v>
      </x:c>
      <x:c r="F19" s="38" t="str">
        <x:v>Operations</x:v>
      </x:c>
      <x:c r="G19" s="38" t="str">
        <x:v>P03 P09</x:v>
      </x:c>
      <x:c r="H19" s="38" t="str">
        <x:v>Fulfillment plan and source files</x:v>
      </x:c>
      <x:c r="I19" s="56" t="str">
        <x:v>Not started</x:v>
      </x:c>
    </x:row>
    <x:row r="20" ht="44" customHeight="1">
      <x:c r="A20" s="25" t="str">
        <x:v>P13</x:v>
      </x:c>
      <x:c r="B20" s="38" t="n">
        <x:v>-7</x:v>
      </x:c>
      <x:c r="C20" s="127" t="n">
        <x:f>Start!B7+B20</x:f>
        <x:v>46441</x:v>
      </x:c>
      <x:c r="D20" s="26" t="str">
        <x:v>QA</x:v>
      </x:c>
      <x:c r="E20" s="26" t="str">
        <x:v>Test page, links, mobile and email</x:v>
      </x:c>
      <x:c r="F20" s="38" t="str">
        <x:v>Creator</x:v>
      </x:c>
      <x:c r="G20" s="38" t="str">
        <x:v>P10 P11</x:v>
      </x:c>
      <x:c r="H20" s="38" t="str">
        <x:v>QA checklist with evidence</x:v>
      </x:c>
      <x:c r="I20" s="56" t="str">
        <x:v>Not started</x:v>
      </x:c>
    </x:row>
    <x:row r="21" ht="44" customHeight="1">
      <x:c r="A21" s="31" t="str">
        <x:v>P14</x:v>
      </x:c>
      <x:c r="B21" s="38" t="n">
        <x:v>-1</x:v>
      </x:c>
      <x:c r="C21" s="126" t="n">
        <x:f>Start!B7+B21</x:f>
        <x:v>46447</x:v>
      </x:c>
      <x:c r="D21" s="32" t="str">
        <x:v>Launch</x:v>
      </x:c>
      <x:c r="E21" s="32" t="str">
        <x:v>Confirm dates, prices and send segments</x:v>
      </x:c>
      <x:c r="F21" s="38" t="str">
        <x:v>Marketing</x:v>
      </x:c>
      <x:c r="G21" s="38" t="str">
        <x:v>P13</x:v>
      </x:c>
      <x:c r="H21" s="38" t="str">
        <x:v>Correct timezone and suppressed backers</x:v>
      </x:c>
      <x:c r="I21" s="56" t="str">
        <x:v>Not started</x:v>
      </x:c>
    </x:row>
    <x:row r="22" ht="44" customHeight="1">
      <x:c r="A22" s="25" t="str">
        <x:v>P15</x:v>
      </x:c>
      <x:c r="B22" s="38" t="n">
        <x:v>0</x:v>
      </x:c>
      <x:c r="C22" s="127" t="n">
        <x:f>Start!B7+B22</x:f>
        <x:v>46448</x:v>
      </x:c>
      <x:c r="D22" s="26" t="str">
        <x:v>Launch</x:v>
      </x:c>
      <x:c r="E22" s="26" t="str">
        <x:v>Launch and verify campaign before email</x:v>
      </x:c>
      <x:c r="F22" s="38" t="str">
        <x:v>Creator</x:v>
      </x:c>
      <x:c r="G22" s="38" t="str">
        <x:v>P14</x:v>
      </x:c>
      <x:c r="H22" s="38" t="str">
        <x:v>Live reward prices and links checked</x:v>
      </x:c>
      <x:c r="I22" s="56" t="str">
        <x:v>Not started</x:v>
      </x:c>
    </x:row>
    <x:row r="23" ht="44" customHeight="1">
      <x:c r="A23" s="31" t="str">
        <x:v>P16</x:v>
      </x:c>
      <x:c r="B23" s="38" t="n">
        <x:v>1</x:v>
      </x:c>
      <x:c r="C23" s="126" t="n">
        <x:f>Start!B7+B23</x:f>
        <x:v>46449</x:v>
      </x:c>
      <x:c r="D23" s="32" t="str">
        <x:v>Live</x:v>
      </x:c>
      <x:c r="E23" s="32" t="str">
        <x:v>Answer questions and log source data</x:v>
      </x:c>
      <x:c r="F23" s="38" t="str">
        <x:v>Support</x:v>
      </x:c>
      <x:c r="G23" s="38" t="str">
        <x:v>P15</x:v>
      </x:c>
      <x:c r="H23" s="38" t="str">
        <x:v>Live ops log</x:v>
      </x:c>
      <x:c r="I23" s="56" t="str">
        <x:v>Not started</x:v>
      </x:c>
    </x:row>
    <x:row r="24" ht="44" customHeight="1">
      <x:c r="A24" s="25" t="str">
        <x:v>P17</x:v>
      </x:c>
      <x:c r="B24" s="38" t="n">
        <x:v>15</x:v>
      </x:c>
      <x:c r="C24" s="127" t="n">
        <x:f>Start!B7+B24</x:f>
        <x:v>46463</x:v>
      </x:c>
      <x:c r="D24" s="26" t="str">
        <x:v>Live</x:v>
      </x:c>
      <x:c r="E24" s="26" t="str">
        <x:v>Publish a factual progress update</x:v>
      </x:c>
      <x:c r="F24" s="38" t="str">
        <x:v>Creator</x:v>
      </x:c>
      <x:c r="G24" s="38" t="str">
        <x:v>P16</x:v>
      </x:c>
      <x:c r="H24" s="38" t="str">
        <x:v>Verified progress and next action</x:v>
      </x:c>
      <x:c r="I24" s="56" t="str">
        <x:v>Not started</x:v>
      </x:c>
    </x:row>
    <x:row r="25" ht="44" customHeight="1">
      <x:c r="A25" s="31" t="str">
        <x:v>P18</x:v>
      </x:c>
      <x:c r="B25" s="38" t="n">
        <x:v>28</x:v>
      </x:c>
      <x:c r="C25" s="126" t="n">
        <x:f>Start!B7+B25</x:f>
        <x:v>46476</x:v>
      </x:c>
      <x:c r="D25" s="32" t="str">
        <x:v>Close</x:v>
      </x:c>
      <x:c r="E25" s="32" t="str">
        <x:v>Check final reminders and capacity</x:v>
      </x:c>
      <x:c r="F25" s="38" t="str">
        <x:v>Creator</x:v>
      </x:c>
      <x:c r="G25" s="38" t="str">
        <x:v>P17</x:v>
      </x:c>
      <x:c r="H25" s="38" t="str">
        <x:v>No unsupported stretch promises</x:v>
      </x:c>
      <x:c r="I25" s="56" t="str">
        <x:v>Not started</x:v>
      </x:c>
    </x:row>
    <x:row r="26" ht="44" customHeight="1">
      <x:c r="A26" s="25" t="str">
        <x:v>P19</x:v>
      </x:c>
      <x:c r="B26" s="38" t="n">
        <x:v>30</x:v>
      </x:c>
      <x:c r="C26" s="127" t="n">
        <x:f>Start!B7+B26</x:f>
        <x:v>46478</x:v>
      </x:c>
      <x:c r="D26" s="26" t="str">
        <x:v>Close</x:v>
      </x:c>
      <x:c r="E26" s="26" t="str">
        <x:v>Reconcile outcome and explain next steps</x:v>
      </x:c>
      <x:c r="F26" s="38" t="str">
        <x:v>Creator</x:v>
      </x:c>
      <x:c r="G26" s="38" t="str">
        <x:v>P18</x:v>
      </x:c>
      <x:c r="H26" s="38" t="str">
        <x:v>Funded or unsuccessful email</x:v>
      </x:c>
      <x:c r="I26" s="56" t="str">
        <x:v>Not started</x:v>
      </x:c>
    </x:row>
    <x:row r="27" ht="44" customHeight="1">
      <x:c r="A27" s="44" t="str">
        <x:v>P20</x:v>
      </x:c>
      <x:c r="B27" s="39" t="n">
        <x:v>45</x:v>
      </x:c>
      <x:c r="C27" s="128" t="n">
        <x:f>Start!B7+B27</x:f>
        <x:v>46493</x:v>
      </x:c>
      <x:c r="D27" s="45" t="str">
        <x:v>Handoff</x:v>
      </x:c>
      <x:c r="E27" s="45" t="str">
        <x:v>Approve production and pledge manager plan</x:v>
      </x:c>
      <x:c r="F27" s="39" t="str">
        <x:v>Operations</x:v>
      </x:c>
      <x:c r="G27" s="39" t="str">
        <x:v>P19</x:v>
      </x:c>
      <x:c r="H27" s="39" t="str">
        <x:v>Signed sample, SKU mapping and cash</x:v>
      </x:c>
      <x:c r="I27" s="54" t="str">
        <x:v>Not started</x:v>
      </x:c>
    </x:row>
    <x:row r="28" ht="25" customHeight="1">
      <x:c r="A28" s="3"/>
      <x:c r="B28" s="3"/>
      <x:c r="C28" s="3"/>
      <x:c r="D28" s="3"/>
      <x:c r="E28" s="3"/>
      <x:c r="F28" s="3"/>
      <x:c r="G28" s="3"/>
      <x:c r="H28" s="3"/>
      <x:c r="I28" s="3"/>
    </x:row>
    <x:row r="29" ht="25" customHeight="1">
      <x:c r="A29" s="3"/>
      <x:c r="B29" s="3"/>
      <x:c r="C29" s="3"/>
      <x:c r="D29" s="3"/>
      <x:c r="E29" s="3"/>
      <x:c r="F29" s="3"/>
      <x:c r="G29" s="3"/>
      <x:c r="H29" s="3"/>
      <x:c r="I29" s="3"/>
    </x:row>
    <x:row r="30" ht="25" customHeight="1">
      <x:c r="A30" s="3"/>
      <x:c r="B30" s="3"/>
      <x:c r="C30" s="3"/>
      <x:c r="D30" s="3"/>
      <x:c r="E30" s="3"/>
      <x:c r="F30" s="3"/>
      <x:c r="G30" s="3"/>
      <x:c r="H30" s="3"/>
      <x:c r="I30" s="3"/>
    </x:row>
    <x:row r="31" ht="25" customHeight="1">
      <x:c r="A31" s="3"/>
      <x:c r="B31" s="3"/>
      <x:c r="C31" s="3"/>
      <x:c r="D31" s="3"/>
      <x:c r="E31" s="3"/>
      <x:c r="F31" s="3"/>
      <x:c r="G31" s="3"/>
      <x:c r="H31" s="3"/>
      <x:c r="I31" s="3"/>
    </x:row>
    <x:row r="32" ht="25" customHeight="1">
      <x:c r="A32" s="3"/>
      <x:c r="B32" s="3"/>
      <x:c r="C32" s="3"/>
      <x:c r="D32" s="3"/>
      <x:c r="E32" s="3"/>
      <x:c r="F32" s="3"/>
      <x:c r="G32" s="3"/>
      <x:c r="H32" s="3"/>
      <x:c r="I32" s="3"/>
    </x:row>
  </x:sheetData>
  <x:mergeCells>
    <x:mergeCell ref="A1:I2"/>
    <x:mergeCell ref="A3:I4"/>
  </x:mergeCells>
  <x:dataValidations count="1">
    <x:dataValidation type="list" sqref="I8:I27">
      <x:formula1>"Not started,In progress,Blocked,Done"</x:formula1>
    </x:dataValidation>
  </x:dataValidations>
  <x:pageMargins left="0.7" right="0.7" top="0.75" bottom="0.75" header="0.3" footer="0.3"/>
  <x:tableParts count="1">
    <x:tablePart xmlns:r="http://schemas.openxmlformats.org/officeDocument/2006/relationships" r:id="Rcd6834079e954e65"/>
  </x:tableParts>
</x:worksheet>
</file>

<file path=xl/worksheets/sheet8.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32" hidden="0" customWidth="1"/>
    <x:col min="2" max="2" width="49" hidden="0" customWidth="1"/>
    <x:col min="3" max="3" width="65" hidden="0" customWidth="1"/>
    <x:col min="4" max="4" width="18" hidden="0" customWidth="1"/>
    <x:col min="5" max="5" width="16" hidden="0" customWidth="1"/>
    <x:col min="6" max="6" width="18" hidden="0" customWidth="1"/>
    <x:col min="7" max="7" width="16" hidden="0" customWidth="1"/>
    <x:col min="8" max="8" width="19" hidden="0" customWidth="1"/>
    <x:col min="9" max="9" width="22" hidden="0" customWidth="1"/>
    <x:col min="10" max="10" width="14" hidden="0" customWidth="1"/>
    <x:col min="11" max="11" width="16" hidden="0" customWidth="1"/>
    <x:col min="12" max="12" width="16" hidden="0" customWidth="1"/>
    <x:col min="13" max="13" width="56" hidden="0" customWidth="1"/>
  </x:cols>
  <x:sheetData>
    <x:row r="1" ht="25" customHeight="1">
      <x:c r="A1" s="7" t="str">
        <x:v>Audience and creative tests</x:v>
      </x:c>
      <x:c r="B1" s="4"/>
      <x:c r="C1" s="4"/>
      <x:c r="D1" s="4"/>
      <x:c r="E1" s="4"/>
      <x:c r="F1" s="4"/>
      <x:c r="G1" s="4"/>
      <x:c r="H1" s="4"/>
      <x:c r="I1" s="4"/>
      <x:c r="J1" s="4"/>
      <x:c r="K1" s="4"/>
      <x:c r="L1" s="4"/>
      <x:c r="M1" s="4"/>
    </x:row>
    <x:row r="2" ht="25" customHeight="1">
      <x:c r="A2" s="4"/>
      <x:c r="B2" s="4"/>
      <x:c r="C2" s="4"/>
      <x:c r="D2" s="4"/>
      <x:c r="E2" s="4"/>
      <x:c r="F2" s="4"/>
      <x:c r="G2" s="4"/>
      <x:c r="H2" s="4"/>
      <x:c r="I2" s="4"/>
      <x:c r="J2" s="4"/>
      <x:c r="K2" s="4"/>
      <x:c r="L2" s="4"/>
      <x:c r="M2" s="4"/>
    </x:row>
    <x:row r="3" ht="25" customHeight="1">
      <x:c r="A3" s="9" t="str">
        <x:v>Fictional capped test examples. CTR = clicks / impressions. CPC = spend / clicks. CPL = spend / unique opt ins. Cheap leads do not establish buying intent.</x:v>
      </x:c>
      <x:c r="B3" s="9"/>
      <x:c r="C3" s="9"/>
      <x:c r="D3" s="9"/>
      <x:c r="E3" s="9"/>
      <x:c r="F3" s="9"/>
      <x:c r="G3" s="9"/>
      <x:c r="H3" s="9"/>
      <x:c r="I3" s="9"/>
      <x:c r="J3" s="9"/>
      <x:c r="K3" s="9"/>
      <x:c r="L3" s="9"/>
      <x:c r="M3" s="9"/>
    </x:row>
    <x:row r="4" ht="25" customHeight="1">
      <x:c r="A4" s="9"/>
      <x:c r="B4" s="9"/>
      <x:c r="C4" s="9"/>
      <x:c r="D4" s="9"/>
      <x:c r="E4" s="9"/>
      <x:c r="F4" s="9"/>
      <x:c r="G4" s="9"/>
      <x:c r="H4" s="9"/>
      <x:c r="I4" s="9"/>
      <x:c r="J4" s="9"/>
      <x:c r="K4" s="9"/>
      <x:c r="L4" s="9"/>
      <x:c r="M4" s="9"/>
    </x:row>
    <x:row r="5" ht="25" customHeight="1">
      <x:c r="A5" s="3" t="str">
        <x:v>Selected case</x:v>
      </x:c>
      <x:c r="B5" s="17" t="str">
        <x:f>Start!B8</x:f>
        <x:v>Base</x:v>
      </x:c>
      <x:c r="C5" s="3"/>
      <x:c r="D5" s="3"/>
      <x:c r="E5" s="3"/>
      <x:c r="F5" s="3"/>
      <x:c r="G5" s="3"/>
      <x:c r="H5" s="3"/>
      <x:c r="I5" s="3"/>
      <x:c r="J5" s="3"/>
      <x:c r="K5" s="3"/>
      <x:c r="L5" s="3"/>
      <x:c r="M5" s="3"/>
    </x:row>
    <x:row r="6" ht="25" customHeight="1">
      <x:c r="A6" s="3"/>
      <x:c r="B6" s="3"/>
      <x:c r="C6" s="3"/>
      <x:c r="D6" s="3"/>
      <x:c r="E6" s="3"/>
      <x:c r="F6" s="3"/>
      <x:c r="G6" s="3"/>
      <x:c r="H6" s="3"/>
      <x:c r="I6" s="3"/>
      <x:c r="J6" s="3"/>
      <x:c r="K6" s="3"/>
      <x:c r="L6" s="3"/>
      <x:c r="M6" s="3"/>
    </x:row>
    <x:row r="7" ht="39" customHeight="1">
      <x:c r="A7" s="21" t="str">
        <x:v>Test ID</x:v>
      </x:c>
      <x:c r="B7" s="21" t="str">
        <x:v>Audience and hypothesis</x:v>
      </x:c>
      <x:c r="C7" s="21" t="str">
        <x:v>Hook and asset</x:v>
      </x:c>
      <x:c r="D7" s="21" t="str">
        <x:v>Spend cap</x:v>
      </x:c>
      <x:c r="E7" s="21" t="str">
        <x:v>Spend</x:v>
      </x:c>
      <x:c r="F7" s="21" t="str">
        <x:v>Impressions</x:v>
      </x:c>
      <x:c r="G7" s="21" t="str">
        <x:v>Clicks</x:v>
      </x:c>
      <x:c r="H7" s="21" t="str">
        <x:v>Unique opt ins</x:v>
      </x:c>
      <x:c r="I7" s="21" t="str">
        <x:v>Qualified actions</x:v>
      </x:c>
      <x:c r="J7" s="21" t="str">
        <x:v>CTR</x:v>
      </x:c>
      <x:c r="K7" s="21" t="str">
        <x:v>CPC</x:v>
      </x:c>
      <x:c r="L7" s="21" t="str">
        <x:v>CPL</x:v>
      </x:c>
      <x:c r="M7" s="21" t="str">
        <x:v>Decision</x:v>
      </x:c>
    </x:row>
    <x:row r="8" ht="44" customHeight="1">
      <x:c r="A8" s="51" t="str">
        <x:v>T01</x:v>
      </x:c>
      <x:c r="B8" s="37" t="str">
        <x:v>Strategy players who enjoy negotiation</x:v>
      </x:c>
      <x:c r="C8" s="37" t="str">
        <x:v>One turn and a visible hard choice</x:v>
      </x:c>
      <x:c r="D8" s="37" t="n">
        <x:v>100</x:v>
      </x:c>
      <x:c r="E8" s="37" t="n">
        <x:v>80</x:v>
      </x:c>
      <x:c r="F8" s="37" t="n">
        <x:v>12000</x:v>
      </x:c>
      <x:c r="G8" s="37" t="n">
        <x:v>140</x:v>
      </x:c>
      <x:c r="H8" s="37" t="n">
        <x:v>32</x:v>
      </x:c>
      <x:c r="I8" s="37" t="n">
        <x:v>5</x:v>
      </x:c>
      <x:c r="J8" s="129" t="n">
        <x:f>IF(F8&gt;0,G8/F8,"n.a.")</x:f>
        <x:v>0.011666666666666667</x:v>
      </x:c>
      <x:c r="K8" s="64" t="n">
        <x:f>IF(G8&gt;0,E8/G8,"n.a.")</x:f>
        <x:v>0.5714285714285714</x:v>
      </x:c>
      <x:c r="L8" s="64" t="n">
        <x:f>IF(H8&gt;0,E8/H8,"n.a.")</x:f>
        <x:v>2.5</x:v>
      </x:c>
      <x:c r="M8" s="52" t="str">
        <x:v>Example only. Review feedback before repeating</x:v>
      </x:c>
    </x:row>
    <x:row r="9" ht="44" customHeight="1">
      <x:c r="A9" s="70" t="str">
        <x:v>T02</x:v>
      </x:c>
      <x:c r="B9" s="38" t="str">
        <x:v>Couples who play short card games</x:v>
      </x:c>
      <x:c r="C9" s="38" t="str">
        <x:v>Setup to first decision in 15 seconds</x:v>
      </x:c>
      <x:c r="D9" s="38" t="n">
        <x:v>100</x:v>
      </x:c>
      <x:c r="E9" s="38" t="n">
        <x:v>65</x:v>
      </x:c>
      <x:c r="F9" s="38" t="n">
        <x:v>9000</x:v>
      </x:c>
      <x:c r="G9" s="38" t="n">
        <x:v>100</x:v>
      </x:c>
      <x:c r="H9" s="38" t="n">
        <x:v>24</x:v>
      </x:c>
      <x:c r="I9" s="38" t="n">
        <x:v>3</x:v>
      </x:c>
      <x:c r="J9" s="130" t="n">
        <x:f>IF(F9&gt;0,G9/F9,"n.a.")</x:f>
        <x:v>0.011111111111111112</x:v>
      </x:c>
      <x:c r="K9" s="65" t="n">
        <x:f>IF(G9&gt;0,E9/G9,"n.a.")</x:f>
        <x:v>0.65</x:v>
      </x:c>
      <x:c r="L9" s="65" t="n">
        <x:f>IF(H9&gt;0,E9/H9,"n.a.")</x:f>
        <x:v>2.7083333333333335</x:v>
      </x:c>
      <x:c r="M9" s="56" t="str">
        <x:v>Example only. Change one hook, keep audience</x:v>
      </x:c>
    </x:row>
    <x:row r="10" ht="44" customHeight="1">
      <x:c r="A10" s="53" t="str">
        <x:v>T03</x:v>
      </x:c>
      <x:c r="B10" s="39" t="str">
        <x:v>Your next audience hypothesis</x:v>
      </x:c>
      <x:c r="C10" s="39" t="str">
        <x:v>Enter an original creative angle</x:v>
      </x:c>
      <x:c r="D10" s="39" t="n">
        <x:v>0</x:v>
      </x:c>
      <x:c r="E10" s="39" t="n">
        <x:v>0</x:v>
      </x:c>
      <x:c r="F10" s="39" t="n">
        <x:v>0</x:v>
      </x:c>
      <x:c r="G10" s="39" t="n">
        <x:v>0</x:v>
      </x:c>
      <x:c r="H10" s="39" t="n">
        <x:v>0</x:v>
      </x:c>
      <x:c r="I10" s="39" t="n">
        <x:v>0</x:v>
      </x:c>
      <x:c r="J10" s="131" t="str">
        <x:f>IF(F10&gt;0,G10/F10,"n.a.")</x:f>
        <x:v>n.a.</x:v>
      </x:c>
      <x:c r="K10" s="67" t="str">
        <x:f>IF(G10&gt;0,E10/G10,"n.a.")</x:f>
        <x:v>n.a.</x:v>
      </x:c>
      <x:c r="L10" s="67" t="str">
        <x:f>IF(H10&gt;0,E10/H10,"n.a.")</x:f>
        <x:v>n.a.</x:v>
      </x:c>
      <x:c r="M10" s="54" t="str">
        <x:v>Set cap, dates and success criterion before spend</x:v>
      </x:c>
    </x:row>
    <x:row r="11" ht="25" customHeight="1">
      <x:c r="A11" s="3"/>
      <x:c r="B11" s="3"/>
      <x:c r="C11" s="3"/>
      <x:c r="D11" s="3"/>
      <x:c r="E11" s="3"/>
      <x:c r="F11" s="3"/>
      <x:c r="G11" s="3"/>
      <x:c r="H11" s="3"/>
      <x:c r="I11" s="3"/>
      <x:c r="J11" s="3"/>
      <x:c r="K11" s="3"/>
      <x:c r="L11" s="3"/>
      <x:c r="M11" s="3"/>
    </x:row>
    <x:row r="12" ht="25" customHeight="1">
      <x:c r="A12" s="3"/>
      <x:c r="B12" s="3"/>
      <x:c r="C12" s="3"/>
      <x:c r="D12" s="3"/>
      <x:c r="E12" s="3"/>
      <x:c r="F12" s="3"/>
      <x:c r="G12" s="3"/>
      <x:c r="H12" s="3"/>
      <x:c r="I12" s="3"/>
      <x:c r="J12" s="3"/>
      <x:c r="K12" s="3"/>
      <x:c r="L12" s="3"/>
      <x:c r="M12" s="3"/>
    </x:row>
    <x:row r="13" ht="25" customHeight="1">
      <x:c r="A13" s="3"/>
      <x:c r="B13" s="3"/>
      <x:c r="C13" s="3"/>
      <x:c r="D13" s="3"/>
      <x:c r="E13" s="3"/>
      <x:c r="F13" s="3"/>
      <x:c r="G13" s="3"/>
      <x:c r="H13" s="3"/>
      <x:c r="I13" s="3"/>
      <x:c r="J13" s="3"/>
      <x:c r="K13" s="3"/>
      <x:c r="L13" s="3"/>
      <x:c r="M13" s="3"/>
    </x:row>
    <x:row r="14" ht="39" customHeight="1">
      <x:c r="A14" s="21" t="str">
        <x:v>Test planning field</x:v>
      </x:c>
      <x:c r="B14" s="21" t="str">
        <x:v>Your input</x:v>
      </x:c>
      <x:c r="C14" s="21" t="str">
        <x:v>Example</x:v>
      </x:c>
      <x:c r="D14" s="3"/>
      <x:c r="E14" s="3"/>
      <x:c r="F14" s="3"/>
      <x:c r="G14" s="3"/>
      <x:c r="H14" s="3"/>
      <x:c r="I14" s="3"/>
      <x:c r="J14" s="3"/>
      <x:c r="K14" s="3"/>
      <x:c r="L14" s="3"/>
      <x:c r="M14" s="3"/>
    </x:row>
    <x:row r="15" ht="44" customHeight="1">
      <x:c r="A15" s="22" t="str">
        <x:v>Observation period</x:v>
      </x:c>
      <x:c r="B15" s="37" t="str">
        <x:v>Enter start and stop dates</x:v>
      </x:c>
      <x:c r="C15" s="24" t="str">
        <x:v>Seven days or chosen fixed sample</x:v>
      </x:c>
      <x:c r="D15" s="3"/>
      <x:c r="E15" s="3"/>
      <x:c r="F15" s="3"/>
      <x:c r="G15" s="3"/>
      <x:c r="H15" s="3"/>
      <x:c r="I15" s="3"/>
      <x:c r="J15" s="3"/>
      <x:c r="K15" s="3"/>
      <x:c r="L15" s="3"/>
      <x:c r="M15" s="3"/>
    </x:row>
    <x:row r="16" ht="44" customHeight="1">
      <x:c r="A16" s="31" t="str">
        <x:v>Qualified action definition</x:v>
      </x:c>
      <x:c r="B16" s="38" t="str">
        <x:v>Enter meaningful observed action</x:v>
      </x:c>
      <x:c r="C16" s="33" t="str">
        <x:v>Rules download plus reply, or test session booked</x:v>
      </x:c>
      <x:c r="D16" s="3"/>
      <x:c r="E16" s="3"/>
      <x:c r="F16" s="3"/>
      <x:c r="G16" s="3"/>
      <x:c r="H16" s="3"/>
      <x:c r="I16" s="3"/>
      <x:c r="J16" s="3"/>
      <x:c r="K16" s="3"/>
      <x:c r="L16" s="3"/>
      <x:c r="M16" s="3"/>
    </x:row>
    <x:row r="17" ht="44" customHeight="1">
      <x:c r="A17" s="25" t="str">
        <x:v>Decision rule</x:v>
      </x:c>
      <x:c r="B17" s="38" t="str">
        <x:v>Set before running test</x:v>
      </x:c>
      <x:c r="C17" s="27" t="str">
        <x:v>Stop at cap. Compare relevant actions and replies</x:v>
      </x:c>
      <x:c r="D17" s="3"/>
      <x:c r="E17" s="3"/>
      <x:c r="F17" s="3"/>
      <x:c r="G17" s="3"/>
      <x:c r="H17" s="3"/>
      <x:c r="I17" s="3"/>
      <x:c r="J17" s="3"/>
      <x:c r="K17" s="3"/>
      <x:c r="L17" s="3"/>
      <x:c r="M17" s="3"/>
    </x:row>
    <x:row r="18" ht="44" customHeight="1">
      <x:c r="A18" s="44" t="str">
        <x:v>Next change</x:v>
      </x:c>
      <x:c r="B18" s="39" t="str">
        <x:v>Change one main variable</x:v>
      </x:c>
      <x:c r="C18" s="46" t="str">
        <x:v>Same audience, new gameplay hook</x:v>
      </x:c>
      <x:c r="D18" s="3"/>
      <x:c r="E18" s="3"/>
      <x:c r="F18" s="3"/>
      <x:c r="G18" s="3"/>
      <x:c r="H18" s="3"/>
      <x:c r="I18" s="3"/>
      <x:c r="J18" s="3"/>
      <x:c r="K18" s="3"/>
      <x:c r="L18" s="3"/>
      <x:c r="M18" s="3"/>
    </x:row>
    <x:row r="19" ht="25" customHeight="1">
      <x:c r="A19" s="3"/>
      <x:c r="B19" s="3"/>
      <x:c r="C19" s="3"/>
      <x:c r="D19" s="3"/>
      <x:c r="E19" s="3"/>
      <x:c r="F19" s="3"/>
      <x:c r="G19" s="3"/>
      <x:c r="H19" s="3"/>
      <x:c r="I19" s="3"/>
      <x:c r="J19" s="3"/>
      <x:c r="K19" s="3"/>
      <x:c r="L19" s="3"/>
      <x:c r="M19" s="3"/>
    </x:row>
    <x:row r="20" ht="25" customHeight="1">
      <x:c r="A20" s="3"/>
      <x:c r="B20" s="3"/>
      <x:c r="C20" s="3"/>
      <x:c r="D20" s="3"/>
      <x:c r="E20" s="3"/>
      <x:c r="F20" s="3"/>
      <x:c r="G20" s="3"/>
      <x:c r="H20" s="3"/>
      <x:c r="I20" s="3"/>
      <x:c r="J20" s="3"/>
      <x:c r="K20" s="3"/>
      <x:c r="L20" s="3"/>
      <x:c r="M20" s="3"/>
    </x:row>
    <x:row r="21" ht="25" customHeight="1">
      <x:c r="A21" s="3"/>
      <x:c r="B21" s="3"/>
      <x:c r="C21" s="3"/>
      <x:c r="D21" s="3"/>
      <x:c r="E21" s="3"/>
      <x:c r="F21" s="3"/>
      <x:c r="G21" s="3"/>
      <x:c r="H21" s="3"/>
      <x:c r="I21" s="3"/>
      <x:c r="J21" s="3"/>
      <x:c r="K21" s="3"/>
      <x:c r="L21" s="3"/>
      <x:c r="M21" s="3"/>
    </x:row>
    <x:row r="22" ht="25" customHeight="1">
      <x:c r="A22" s="3"/>
      <x:c r="B22" s="3"/>
      <x:c r="C22" s="3"/>
      <x:c r="D22" s="3"/>
      <x:c r="E22" s="3"/>
      <x:c r="F22" s="3"/>
      <x:c r="G22" s="3"/>
      <x:c r="H22" s="3"/>
      <x:c r="I22" s="3"/>
      <x:c r="J22" s="3"/>
      <x:c r="K22" s="3"/>
      <x:c r="L22" s="3"/>
      <x:c r="M22" s="3"/>
    </x:row>
    <x:row r="23" ht="25" customHeight="1">
      <x:c r="A23" s="3"/>
      <x:c r="B23" s="3"/>
      <x:c r="C23" s="3"/>
      <x:c r="D23" s="3"/>
      <x:c r="E23" s="3"/>
      <x:c r="F23" s="3"/>
      <x:c r="G23" s="3"/>
      <x:c r="H23" s="3"/>
      <x:c r="I23" s="3"/>
      <x:c r="J23" s="3"/>
      <x:c r="K23" s="3"/>
      <x:c r="L23" s="3"/>
      <x:c r="M23" s="3"/>
    </x:row>
    <x:row r="24" ht="25" customHeight="1">
      <x:c r="A24" s="3"/>
      <x:c r="B24" s="3"/>
      <x:c r="C24" s="3"/>
      <x:c r="D24" s="3"/>
      <x:c r="E24" s="3"/>
      <x:c r="F24" s="3"/>
      <x:c r="G24" s="3"/>
      <x:c r="H24" s="3"/>
      <x:c r="I24" s="3"/>
      <x:c r="J24" s="3"/>
      <x:c r="K24" s="3"/>
      <x:c r="L24" s="3"/>
      <x:c r="M24" s="3"/>
    </x:row>
  </x:sheetData>
  <x:mergeCells>
    <x:mergeCell ref="A1:M2"/>
    <x:mergeCell ref="A3:M4"/>
  </x:mergeCells>
  <x:pageMargins left="0.7" right="0.7" top="0.75" bottom="0.75" header="0.3" footer="0.3"/>
  <x:tableParts count="2">
    <x:tablePart xmlns:r="http://schemas.openxmlformats.org/officeDocument/2006/relationships" r:id="R8963de9810c84c6d"/>
    <x:tablePart xmlns:r="http://schemas.openxmlformats.org/officeDocument/2006/relationships" r:id="R12a0ce7481f04d34"/>
  </x:tableParts>
</x:worksheet>
</file>

<file path=xl/worksheets/sheet9.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15" hidden="0" customWidth="1"/>
    <x:col min="2" max="2" width="38" hidden="0" customWidth="1"/>
    <x:col min="3" max="3" width="65" hidden="0" customWidth="1"/>
    <x:col min="4" max="4" width="21" hidden="0" customWidth="1"/>
    <x:col min="5" max="5" width="16" hidden="0" customWidth="1"/>
    <x:col min="6" max="6" width="15" hidden="0" customWidth="1"/>
    <x:col min="7" max="7" width="15" hidden="0" customWidth="1"/>
    <x:col min="8" max="8" width="15" hidden="0" customWidth="1"/>
    <x:col min="9" max="9" width="23" hidden="0" customWidth="1"/>
    <x:col min="10" max="10" width="60" hidden="0" customWidth="1"/>
  </x:cols>
  <x:sheetData>
    <x:row r="1" ht="25" customHeight="1">
      <x:c r="A1" s="7" t="str">
        <x:v>Marketing source registry</x:v>
      </x:c>
      <x:c r="B1" s="4"/>
      <x:c r="C1" s="4"/>
      <x:c r="D1" s="4"/>
      <x:c r="E1" s="4"/>
      <x:c r="F1" s="4"/>
      <x:c r="G1" s="4"/>
      <x:c r="H1" s="4"/>
      <x:c r="I1" s="4"/>
      <x:c r="J1" s="4"/>
    </x:row>
    <x:row r="2" ht="25" customHeight="1">
      <x:c r="A2" s="4"/>
      <x:c r="B2" s="4"/>
      <x:c r="C2" s="4"/>
      <x:c r="D2" s="4"/>
      <x:c r="E2" s="4"/>
      <x:c r="F2" s="4"/>
      <x:c r="G2" s="4"/>
      <x:c r="H2" s="4"/>
      <x:c r="I2" s="4"/>
      <x:c r="J2" s="4"/>
    </x:row>
    <x:row r="3" ht="25" customHeight="1">
      <x:c r="A3" s="9" t="str">
        <x:v>Use Kickstarter generated referral tags for Kickstarter. On Gamefound, use its available campaign reporting and links. Keep own site UTMs separate. Platform attribution does not prove causal or cross device tracking.</x:v>
      </x:c>
      <x:c r="B3" s="9"/>
      <x:c r="C3" s="9"/>
      <x:c r="D3" s="9"/>
      <x:c r="E3" s="9"/>
      <x:c r="F3" s="9"/>
      <x:c r="G3" s="9"/>
      <x:c r="H3" s="9"/>
      <x:c r="I3" s="9"/>
      <x:c r="J3" s="9"/>
    </x:row>
    <x:row r="4" ht="25" customHeight="1">
      <x:c r="A4" s="9"/>
      <x:c r="B4" s="9"/>
      <x:c r="C4" s="9"/>
      <x:c r="D4" s="9"/>
      <x:c r="E4" s="9"/>
      <x:c r="F4" s="9"/>
      <x:c r="G4" s="9"/>
      <x:c r="H4" s="9"/>
      <x:c r="I4" s="9"/>
      <x:c r="J4" s="9"/>
    </x:row>
    <x:row r="5" ht="25" customHeight="1">
      <x:c r="A5" s="3" t="str">
        <x:v>Selected case</x:v>
      </x:c>
      <x:c r="B5" s="17" t="str">
        <x:f>Start!B8</x:f>
        <x:v>Base</x:v>
      </x:c>
      <x:c r="C5" s="3"/>
      <x:c r="D5" s="3"/>
      <x:c r="E5" s="3"/>
      <x:c r="F5" s="3"/>
      <x:c r="G5" s="3"/>
      <x:c r="H5" s="3"/>
      <x:c r="I5" s="3"/>
      <x:c r="J5" s="3"/>
    </x:row>
    <x:row r="6" ht="25" customHeight="1">
      <x:c r="A6" s="3"/>
      <x:c r="B6" s="3"/>
      <x:c r="C6" s="3"/>
      <x:c r="D6" s="3"/>
      <x:c r="E6" s="3"/>
      <x:c r="F6" s="3"/>
      <x:c r="G6" s="3"/>
      <x:c r="H6" s="3"/>
      <x:c r="I6" s="3"/>
      <x:c r="J6" s="3"/>
    </x:row>
    <x:row r="7" ht="39" customHeight="1">
      <x:c r="A7" s="21" t="str">
        <x:v>Source ID</x:v>
      </x:c>
      <x:c r="B7" s="21" t="str">
        <x:v>Channel and placement</x:v>
      </x:c>
      <x:c r="C7" s="21" t="str">
        <x:v>Destination URL or tag</x:v>
      </x:c>
      <x:c r="D7" s="21" t="str">
        <x:v>Date live</x:v>
      </x:c>
      <x:c r="E7" s="21" t="str">
        <x:v>Spend</x:v>
      </x:c>
      <x:c r="F7" s="21" t="str">
        <x:v>Visits</x:v>
      </x:c>
      <x:c r="G7" s="21" t="str">
        <x:v>Opt ins</x:v>
      </x:c>
      <x:c r="H7" s="21" t="str">
        <x:v>Pledges</x:v>
      </x:c>
      <x:c r="I7" s="21" t="str">
        <x:v>Collected amount</x:v>
      </x:c>
      <x:c r="J7" s="21" t="str">
        <x:v>Evidence and period</x:v>
      </x:c>
    </x:row>
    <x:row r="8" ht="44" customHeight="1">
      <x:c r="A8" s="51" t="str">
        <x:v>S01</x:v>
      </x:c>
      <x:c r="B8" s="37" t="str">
        <x:v>Email launch broadcast</x:v>
      </x:c>
      <x:c r="C8" s="37" t="str">
        <x:v>Paste chosen platform campaign tracking URL</x:v>
      </x:c>
      <x:c r="D8" s="37" t="str">
        <x:v>Not live</x:v>
      </x:c>
      <x:c r="E8" s="37" t="n">
        <x:v>0</x:v>
      </x:c>
      <x:c r="F8" s="37" t="n">
        <x:v>0</x:v>
      </x:c>
      <x:c r="G8" s="37" t="n">
        <x:v>0</x:v>
      </x:c>
      <x:c r="H8" s="37" t="n">
        <x:v>0</x:v>
      </x:c>
      <x:c r="I8" s="37" t="n">
        <x:v>0</x:v>
      </x:c>
      <x:c r="J8" s="52" t="str">
        <x:v>Record dashboard export and date range</x:v>
      </x:c>
    </x:row>
    <x:row r="9" ht="44" customHeight="1">
      <x:c r="A9" s="70" t="str">
        <x:v>S02</x:v>
      </x:c>
      <x:c r="B9" s="38" t="str">
        <x:v>Reviewer video</x:v>
      </x:c>
      <x:c r="C9" s="38" t="str">
        <x:v>Paste unique link agreed with reviewer</x:v>
      </x:c>
      <x:c r="D9" s="38" t="str">
        <x:v>Not live</x:v>
      </x:c>
      <x:c r="E9" s="38" t="n">
        <x:v>0</x:v>
      </x:c>
      <x:c r="F9" s="38" t="n">
        <x:v>0</x:v>
      </x:c>
      <x:c r="G9" s="38" t="n">
        <x:v>0</x:v>
      </x:c>
      <x:c r="H9" s="38" t="n">
        <x:v>0</x:v>
      </x:c>
      <x:c r="I9" s="38" t="n">
        <x:v>0</x:v>
      </x:c>
      <x:c r="J9" s="56" t="str">
        <x:v>Record paid or free and publication permission</x:v>
      </x:c>
    </x:row>
    <x:row r="10" ht="44" customHeight="1">
      <x:c r="A10" s="70" t="str">
        <x:v>S03</x:v>
      </x:c>
      <x:c r="B10" s="38" t="str">
        <x:v>Prelaunch landing page ad</x:v>
      </x:c>
      <x:c r="C10" s="38" t="str">
        <x:v>Paste own site UTM URL</x:v>
      </x:c>
      <x:c r="D10" s="38" t="str">
        <x:v>Not live</x:v>
      </x:c>
      <x:c r="E10" s="38" t="n">
        <x:v>0</x:v>
      </x:c>
      <x:c r="F10" s="38" t="n">
        <x:v>0</x:v>
      </x:c>
      <x:c r="G10" s="38" t="n">
        <x:v>0</x:v>
      </x:c>
      <x:c r="H10" s="38" t="n">
        <x:v>0</x:v>
      </x:c>
      <x:c r="I10" s="38" t="n">
        <x:v>0</x:v>
      </x:c>
      <x:c r="J10" s="56" t="str">
        <x:v>Do not combine unrelated reporting windows</x:v>
      </x:c>
    </x:row>
    <x:row r="11" ht="44" customHeight="1">
      <x:c r="A11" s="53" t="str">
        <x:v>S04</x:v>
      </x:c>
      <x:c r="B11" s="39" t="str">
        <x:v>Unknown or unattributed</x:v>
      </x:c>
      <x:c r="C11" s="39" t="str">
        <x:v>Record unattributed platform totals</x:v>
      </x:c>
      <x:c r="D11" s="39" t="str">
        <x:v>Not live</x:v>
      </x:c>
      <x:c r="E11" s="39" t="n">
        <x:v>0</x:v>
      </x:c>
      <x:c r="F11" s="39" t="n">
        <x:v>0</x:v>
      </x:c>
      <x:c r="G11" s="39" t="n">
        <x:v>0</x:v>
      </x:c>
      <x:c r="H11" s="39" t="n">
        <x:v>0</x:v>
      </x:c>
      <x:c r="I11" s="39" t="n">
        <x:v>0</x:v>
      </x:c>
      <x:c r="J11" s="54" t="str">
        <x:v>Keep unknown visible; do not invent a source</x:v>
      </x:c>
    </x:row>
    <x:row r="12" ht="25" customHeight="1">
      <x:c r="A12" s="3"/>
      <x:c r="B12" s="3"/>
      <x:c r="C12" s="3"/>
      <x:c r="D12" s="3"/>
      <x:c r="E12" s="3"/>
      <x:c r="F12" s="3"/>
      <x:c r="G12" s="3"/>
      <x:c r="H12" s="3"/>
      <x:c r="I12" s="3"/>
      <x:c r="J12" s="3"/>
    </x:row>
    <x:row r="13" ht="25" customHeight="1">
      <x:c r="A13" s="3"/>
      <x:c r="B13" s="3"/>
      <x:c r="C13" s="3"/>
      <x:c r="D13" s="3"/>
      <x:c r="E13" s="3"/>
      <x:c r="F13" s="3"/>
      <x:c r="G13" s="3"/>
      <x:c r="H13" s="3"/>
      <x:c r="I13" s="3"/>
      <x:c r="J13" s="3"/>
    </x:row>
    <x:row r="14" ht="25" customHeight="1">
      <x:c r="A14" s="3"/>
      <x:c r="B14" s="3"/>
      <x:c r="C14" s="3"/>
      <x:c r="D14" s="3"/>
      <x:c r="E14" s="3"/>
      <x:c r="F14" s="3"/>
      <x:c r="G14" s="3"/>
      <x:c r="H14" s="3"/>
      <x:c r="I14" s="3"/>
      <x:c r="J14" s="3"/>
    </x:row>
    <x:row r="15" ht="25" customHeight="1">
      <x:c r="A15" s="3" t="str">
        <x:v>Primary references</x:v>
      </x:c>
      <x:c r="B15" s="3"/>
      <x:c r="C15" s="3"/>
      <x:c r="D15" s="3"/>
      <x:c r="E15" s="3"/>
      <x:c r="F15" s="3"/>
      <x:c r="G15" s="3"/>
      <x:c r="H15" s="3"/>
      <x:c r="I15" s="3"/>
      <x:c r="J15" s="3"/>
    </x:row>
    <x:row r="16" ht="25" customHeight="1">
      <x:c r="A16" s="3"/>
      <x:c r="B16" s="3"/>
      <x:c r="C16" s="3"/>
      <x:c r="D16" s="3"/>
      <x:c r="E16" s="3"/>
      <x:c r="F16" s="3"/>
      <x:c r="G16" s="3"/>
      <x:c r="H16" s="3"/>
      <x:c r="I16" s="3"/>
      <x:c r="J16" s="3"/>
    </x:row>
    <x:row r="17" ht="25" customHeight="1">
      <x:c r="A17" s="3" t="str">
        <x:v>Fees</x:v>
      </x:c>
      <x:c r="B17" s="3" t="str">
        <x:v>https://www.kickstarter.com/help/fees?country=US</x:v>
      </x:c>
      <x:c r="C17" s="3"/>
      <x:c r="D17" s="3"/>
      <x:c r="E17" s="3"/>
      <x:c r="F17" s="3"/>
      <x:c r="G17" s="3"/>
      <x:c r="H17" s="3"/>
      <x:c r="I17" s="3"/>
      <x:c r="J17" s="3"/>
    </x:row>
    <x:row r="18" ht="25" customHeight="1">
      <x:c r="A18" s="3" t="str">
        <x:v>Funding and goals</x:v>
      </x:c>
      <x:c r="B18" s="3" t="str">
        <x:v>https://www.kickstarter.com/help/handbook/funding</x:v>
      </x:c>
      <x:c r="C18" s="3"/>
      <x:c r="D18" s="3"/>
      <x:c r="E18" s="3"/>
      <x:c r="F18" s="3"/>
      <x:c r="G18" s="3"/>
      <x:c r="H18" s="3"/>
      <x:c r="I18" s="3"/>
      <x:c r="J18" s="3"/>
    </x:row>
    <x:row r="19" ht="25" customHeight="1">
      <x:c r="A19" s="3" t="str">
        <x:v>Platform rules</x:v>
      </x:c>
      <x:c r="B19" s="3" t="str">
        <x:v>https://www.kickstarter.com/rules</x:v>
      </x:c>
      <x:c r="C19" s="3"/>
      <x:c r="D19" s="3"/>
      <x:c r="E19" s="3"/>
      <x:c r="F19" s="3"/>
      <x:c r="G19" s="3"/>
      <x:c r="H19" s="3"/>
      <x:c r="I19" s="3"/>
      <x:c r="J19" s="3"/>
    </x:row>
    <x:row r="20" ht="25" customHeight="1">
      <x:c r="A20" s="3" t="str">
        <x:v>Marketing tools</x:v>
      </x:c>
      <x:c r="B20" s="3" t="str">
        <x:v>https://updates.kickstarter.com/new-tools-to-help-creators-market-their-projects/</x:v>
      </x:c>
      <x:c r="C20" s="3"/>
      <x:c r="D20" s="3"/>
      <x:c r="E20" s="3"/>
      <x:c r="F20" s="3"/>
      <x:c r="G20" s="3"/>
      <x:c r="H20" s="3"/>
      <x:c r="I20" s="3"/>
      <x:c r="J20" s="3"/>
    </x:row>
    <x:row r="21" ht="25" customHeight="1">
      <x:c r="A21" s="3" t="str">
        <x:v>Pledge manager</x:v>
      </x:c>
      <x:c r="B21" s="3" t="str">
        <x:v>https://start.kickstarter.com/pledge-manager-release-notes</x:v>
      </x:c>
      <x:c r="C21" s="3"/>
      <x:c r="D21" s="3"/>
      <x:c r="E21" s="3"/>
      <x:c r="F21" s="3"/>
      <x:c r="G21" s="3"/>
      <x:c r="H21" s="3"/>
      <x:c r="I21" s="3"/>
      <x:c r="J21" s="3"/>
    </x:row>
    <x:row r="22" ht="25" customHeight="1">
      <x:c r="A22" s="3" t="str">
        <x:v>Terms and data</x:v>
      </x:c>
      <x:c r="B22" s="3" t="str">
        <x:v>https://legal.kickstarter.com/</x:v>
      </x:c>
      <x:c r="C22" s="3"/>
      <x:c r="D22" s="3"/>
      <x:c r="E22" s="3"/>
      <x:c r="F22" s="3"/>
      <x:c r="G22" s="3"/>
      <x:c r="H22" s="3"/>
      <x:c r="I22" s="3"/>
      <x:c r="J22" s="3"/>
    </x:row>
    <x:row r="23" ht="25" customHeight="1">
      <x:c r="A23" s="3" t="str">
        <x:v>Gamefound fees</x:v>
      </x:c>
      <x:c r="B23" s="3" t="str">
        <x:v>https://help.gamefound.com/article/284-fees-for-projects-funded-on-gamefound</x:v>
      </x:c>
      <x:c r="C23" s="3"/>
      <x:c r="D23" s="3"/>
      <x:c r="E23" s="3"/>
      <x:c r="F23" s="3"/>
      <x:c r="G23" s="3"/>
      <x:c r="H23" s="3"/>
      <x:c r="I23" s="3"/>
      <x:c r="J23" s="3"/>
    </x:row>
    <x:row r="24" ht="25" customHeight="1">
      <x:c r="A24" s="3" t="str">
        <x:v>Gamefound stages</x:v>
      </x:c>
      <x:c r="B24" s="3" t="str">
        <x:v>https://help.gamefound.com/article/285-getting-started-with-crowdfunding</x:v>
      </x:c>
      <x:c r="C24" s="3"/>
      <x:c r="D24" s="3"/>
      <x:c r="E24" s="3"/>
      <x:c r="F24" s="3"/>
      <x:c r="G24" s="3"/>
      <x:c r="H24" s="3"/>
      <x:c r="I24" s="3"/>
      <x:c r="J24" s="3"/>
    </x:row>
    <x:row r="25" ht="25" customHeight="1">
      <x:c r="A25" s="3" t="str">
        <x:v>Gamefound testing</x:v>
      </x:c>
      <x:c r="B25" s="3" t="str">
        <x:v>https://help.gamefound.com/article/366-tester-mode</x:v>
      </x:c>
      <x:c r="C25" s="3"/>
      <x:c r="D25" s="3"/>
      <x:c r="E25" s="3"/>
      <x:c r="F25" s="3"/>
      <x:c r="G25" s="3"/>
      <x:c r="H25" s="3"/>
      <x:c r="I25" s="3"/>
      <x:c r="J25" s="3"/>
    </x:row>
    <x:row r="26" ht="25" customHeight="1">
      <x:c r="A26" s="3" t="str">
        <x:v>Closing rules</x:v>
      </x:c>
      <x:c r="B26" s="3" t="str">
        <x:v>https://help.gamefound.com/article/434-endgame</x:v>
      </x:c>
      <x:c r="C26" s="3"/>
      <x:c r="D26" s="3"/>
      <x:c r="E26" s="3"/>
      <x:c r="F26" s="3"/>
      <x:c r="G26" s="3"/>
      <x:c r="H26" s="3"/>
      <x:c r="I26" s="3"/>
      <x:c r="J26" s="3"/>
    </x:row>
    <x:row r="27">
      <x:c r="A27" t="str">
        <x:v>Gamefound fees</x:v>
      </x:c>
      <x:c r="B27" t="str">
        <x:v>https://help.gamefound.com/article/284-fees-for-projects-funded-on-gamefound</x:v>
      </x:c>
    </x:row>
    <x:row r="28">
      <x:c r="A28" t="str">
        <x:v>Gamefound stages</x:v>
      </x:c>
      <x:c r="B28" t="str">
        <x:v>https://help.gamefound.com/article/285-getting-started-with-crowdfunding</x:v>
      </x:c>
    </x:row>
    <x:row r="29">
      <x:c r="A29" t="str">
        <x:v>Gamefound testing</x:v>
      </x:c>
      <x:c r="B29" t="str">
        <x:v>https://help.gamefound.com/article/366-tester-mode</x:v>
      </x:c>
    </x:row>
    <x:row r="30">
      <x:c r="A30" t="str">
        <x:v>Closing rules</x:v>
      </x:c>
      <x:c r="B30" t="str">
        <x:v>https://help.gamefound.com/article/434-endgame</x:v>
      </x:c>
    </x:row>
  </x:sheetData>
  <x:mergeCells>
    <x:mergeCell ref="A1:J2"/>
    <x:mergeCell ref="A3:J4"/>
    <x:mergeCell ref="B17:F17"/>
    <x:mergeCell ref="B18:F18"/>
    <x:mergeCell ref="B19:F19"/>
    <x:mergeCell ref="B20:F20"/>
    <x:mergeCell ref="B21:F21"/>
    <x:mergeCell ref="B22:F22"/>
    <x:mergeCell ref="B23:F23"/>
    <x:mergeCell ref="B24:F24"/>
    <x:mergeCell ref="B25:F25"/>
    <x:mergeCell ref="B26:F26"/>
    <x:mergeCell ref="B27:F27"/>
    <x:mergeCell ref="B28:F28"/>
    <x:mergeCell ref="B29:F29"/>
    <x:mergeCell ref="B30:F30"/>
  </x:mergeCells>
  <x:pageMargins left="0.7" right="0.7" top="0.75" bottom="0.75" header="0.3" footer="0.3"/>
  <x:tableParts count="1">
    <x:tablePart xmlns:r="http://schemas.openxmlformats.org/officeDocument/2006/relationships" r:id="R73de108976be41a2"/>
  </x:tableParts>
</x:worksheet>
</file>

<file path=xl/worksheets/sheet10.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32" hidden="0" customWidth="1"/>
    <x:col min="2" max="2" width="49" hidden="0" customWidth="1"/>
    <x:col min="3" max="3" width="54" hidden="0" customWidth="1"/>
    <x:col min="4" max="4" width="47" hidden="0" customWidth="1"/>
    <x:col min="5" max="5" width="49" hidden="0" customWidth="1"/>
    <x:col min="6" max="6" width="23" hidden="0" customWidth="1"/>
    <x:col min="7" max="7" width="23" hidden="0" customWidth="1"/>
    <x:col min="8" max="8" width="22" hidden="0" customWidth="1"/>
    <x:col min="9" max="9" width="55" hidden="0" customWidth="1"/>
    <x:col min="10" max="10" width="55" hidden="0" customWidth="1"/>
  </x:cols>
  <x:sheetData>
    <x:row r="1" ht="25" customHeight="1">
      <x:c r="A1" s="7" t="str">
        <x:v>Reviewer outreach and prototype log</x:v>
      </x:c>
      <x:c r="B1" s="4"/>
      <x:c r="C1" s="4"/>
      <x:c r="D1" s="4"/>
      <x:c r="E1" s="4"/>
      <x:c r="F1" s="4"/>
      <x:c r="G1" s="4"/>
      <x:c r="H1" s="4"/>
      <x:c r="I1" s="4"/>
      <x:c r="J1" s="4"/>
    </x:row>
    <x:row r="2" ht="25" customHeight="1">
      <x:c r="A2" s="4"/>
      <x:c r="B2" s="4"/>
      <x:c r="C2" s="4"/>
      <x:c r="D2" s="4"/>
      <x:c r="E2" s="4"/>
      <x:c r="F2" s="4"/>
      <x:c r="G2" s="4"/>
      <x:c r="H2" s="4"/>
      <x:c r="I2" s="4"/>
      <x:c r="J2" s="4"/>
    </x:row>
    <x:row r="3" ht="25" customHeight="1">
      <x:c r="A3" s="9" t="str">
        <x:v>Use relevant public business contacts and each outlet policy. Obtain permission for quote reuse. A prototype or paid feature does not promise favorable coverage.</x:v>
      </x:c>
      <x:c r="B3" s="9"/>
      <x:c r="C3" s="9"/>
      <x:c r="D3" s="9"/>
      <x:c r="E3" s="9"/>
      <x:c r="F3" s="9"/>
      <x:c r="G3" s="9"/>
      <x:c r="H3" s="9"/>
      <x:c r="I3" s="9"/>
      <x:c r="J3" s="9"/>
    </x:row>
    <x:row r="4" ht="25" customHeight="1">
      <x:c r="A4" s="9"/>
      <x:c r="B4" s="9"/>
      <x:c r="C4" s="9"/>
      <x:c r="D4" s="9"/>
      <x:c r="E4" s="9"/>
      <x:c r="F4" s="9"/>
      <x:c r="G4" s="9"/>
      <x:c r="H4" s="9"/>
      <x:c r="I4" s="9"/>
      <x:c r="J4" s="9"/>
    </x:row>
    <x:row r="5" ht="25" customHeight="1">
      <x:c r="A5" s="3" t="str">
        <x:v>Selected case</x:v>
      </x:c>
      <x:c r="B5" s="17" t="str">
        <x:f>Start!B8</x:f>
        <x:v>Base</x:v>
      </x:c>
      <x:c r="C5" s="3"/>
      <x:c r="D5" s="3"/>
      <x:c r="E5" s="3"/>
      <x:c r="F5" s="3"/>
      <x:c r="G5" s="3"/>
      <x:c r="H5" s="3"/>
      <x:c r="I5" s="3"/>
      <x:c r="J5" s="3"/>
    </x:row>
    <x:row r="6" ht="25" customHeight="1">
      <x:c r="A6" s="3"/>
      <x:c r="B6" s="3"/>
      <x:c r="C6" s="3"/>
      <x:c r="D6" s="3"/>
      <x:c r="E6" s="3"/>
      <x:c r="F6" s="3"/>
      <x:c r="G6" s="3"/>
      <x:c r="H6" s="3"/>
      <x:c r="I6" s="3"/>
      <x:c r="J6" s="3"/>
    </x:row>
    <x:row r="7" ht="39" customHeight="1">
      <x:c r="A7" s="21" t="str">
        <x:v>Outlet or person</x:v>
      </x:c>
      <x:c r="B7" s="21" t="str">
        <x:v>Relevance evidence</x:v>
      </x:c>
      <x:c r="C7" s="21" t="str">
        <x:v>Public contact source</x:v>
      </x:c>
      <x:c r="D7" s="21" t="str">
        <x:v>Policy and cost</x:v>
      </x:c>
      <x:c r="E7" s="21" t="str">
        <x:v>Prototype and shipping</x:v>
      </x:c>
      <x:c r="F7" s="21" t="str">
        <x:v>First contact</x:v>
      </x:c>
      <x:c r="G7" s="21" t="str">
        <x:v>Agreed date</x:v>
      </x:c>
      <x:c r="H7" s="21" t="str">
        <x:v>Status</x:v>
      </x:c>
      <x:c r="I7" s="21" t="str">
        <x:v>Permission and disclosure</x:v>
      </x:c>
      <x:c r="J7" s="21" t="str">
        <x:v>Next action</x:v>
      </x:c>
    </x:row>
    <x:row r="8" ht="44" customHeight="1">
      <x:c r="A8" s="51" t="str">
        <x:v>Research a relevant outlet</x:v>
      </x:c>
      <x:c r="B8" s="37" t="str">
        <x:v>Link one recent related review</x:v>
      </x:c>
      <x:c r="C8" s="37" t="str">
        <x:v>Record business contact URL</x:v>
      </x:c>
      <x:c r="D8" s="37" t="str">
        <x:v>Check current submission policy</x:v>
      </x:c>
      <x:c r="E8" s="37" t="str">
        <x:v>Current prototype; confirm destination</x:v>
      </x:c>
      <x:c r="F8" s="37" t="str">
        <x:v>Not sent</x:v>
      </x:c>
      <x:c r="G8" s="37" t="str">
        <x:v>Not agreed</x:v>
      </x:c>
      <x:c r="H8" s="37" t="str">
        <x:v>Research</x:v>
      </x:c>
      <x:c r="I8" s="37" t="str">
        <x:v>No quote permission yet</x:v>
      </x:c>
      <x:c r="J8" s="52" t="str">
        <x:v>Read policy and personalize the draft</x:v>
      </x:c>
    </x:row>
    <x:row r="9" ht="44" customHeight="1">
      <x:c r="A9" s="53" t="str">
        <x:v>Your next relevant outlet</x:v>
      </x:c>
      <x:c r="B9" s="39" t="str">
        <x:v>Explain product and audience fit</x:v>
      </x:c>
      <x:c r="C9" s="39" t="str">
        <x:v>Public business contact only</x:v>
      </x:c>
      <x:c r="D9" s="39" t="str">
        <x:v>Free or paid; record exact scope</x:v>
      </x:c>
      <x:c r="E9" s="39" t="str">
        <x:v>Digital quickstart or physical sample</x:v>
      </x:c>
      <x:c r="F9" s="39" t="str">
        <x:v>Not sent</x:v>
      </x:c>
      <x:c r="G9" s="39" t="str">
        <x:v>Not agreed</x:v>
      </x:c>
      <x:c r="H9" s="39" t="str">
        <x:v>Research</x:v>
      </x:c>
      <x:c r="I9" s="39" t="str">
        <x:v>Confirm paid disclosure when applicable</x:v>
      </x:c>
      <x:c r="J9" s="54" t="str">
        <x:v>Ask about availability without implying agreement</x:v>
      </x:c>
    </x:row>
    <x:row r="10" ht="25" customHeight="1">
      <x:c r="A10" s="3"/>
      <x:c r="B10" s="3"/>
      <x:c r="C10" s="3"/>
      <x:c r="D10" s="3"/>
      <x:c r="E10" s="3"/>
      <x:c r="F10" s="3"/>
      <x:c r="G10" s="3"/>
      <x:c r="H10" s="3"/>
      <x:c r="I10" s="3"/>
      <x:c r="J10" s="3"/>
    </x:row>
    <x:row r="11" ht="25" customHeight="1">
      <x:c r="A11" s="3"/>
      <x:c r="B11" s="3"/>
      <x:c r="C11" s="3"/>
      <x:c r="D11" s="3"/>
      <x:c r="E11" s="3"/>
      <x:c r="F11" s="3"/>
      <x:c r="G11" s="3"/>
      <x:c r="H11" s="3"/>
      <x:c r="I11" s="3"/>
      <x:c r="J11" s="3"/>
    </x:row>
    <x:row r="12" ht="25" customHeight="1">
      <x:c r="A12" s="3"/>
      <x:c r="B12" s="3"/>
      <x:c r="C12" s="3"/>
      <x:c r="D12" s="3"/>
      <x:c r="E12" s="3"/>
      <x:c r="F12" s="3"/>
      <x:c r="G12" s="3"/>
      <x:c r="H12" s="3"/>
      <x:c r="I12" s="3"/>
      <x:c r="J12" s="3"/>
    </x:row>
    <x:row r="13" ht="25" customHeight="1">
      <x:c r="A13" s="3"/>
      <x:c r="B13" s="3"/>
      <x:c r="C13" s="3"/>
      <x:c r="D13" s="3"/>
      <x:c r="E13" s="3"/>
      <x:c r="F13" s="3"/>
      <x:c r="G13" s="3"/>
      <x:c r="H13" s="3"/>
      <x:c r="I13" s="3"/>
      <x:c r="J13" s="3"/>
    </x:row>
    <x:row r="14" ht="25" customHeight="1">
      <x:c r="A14" s="3"/>
      <x:c r="B14" s="3"/>
      <x:c r="C14" s="3"/>
      <x:c r="D14" s="3"/>
      <x:c r="E14" s="3"/>
      <x:c r="F14" s="3"/>
      <x:c r="G14" s="3"/>
      <x:c r="H14" s="3"/>
      <x:c r="I14" s="3"/>
      <x:c r="J14" s="3"/>
    </x:row>
    <x:row r="15" ht="25" customHeight="1">
      <x:c r="A15" s="3"/>
      <x:c r="B15" s="3"/>
      <x:c r="C15" s="3"/>
      <x:c r="D15" s="3"/>
      <x:c r="E15" s="3"/>
      <x:c r="F15" s="3"/>
      <x:c r="G15" s="3"/>
      <x:c r="H15" s="3"/>
      <x:c r="I15" s="3"/>
      <x:c r="J15" s="3"/>
    </x:row>
    <x:row r="16" ht="25" customHeight="1">
      <x:c r="A16" s="3"/>
      <x:c r="B16" s="3"/>
      <x:c r="C16" s="3"/>
      <x:c r="D16" s="3"/>
      <x:c r="E16" s="3"/>
      <x:c r="F16" s="3"/>
      <x:c r="G16" s="3"/>
      <x:c r="H16" s="3"/>
      <x:c r="I16" s="3"/>
      <x:c r="J16" s="3"/>
    </x:row>
    <x:row r="17" ht="25" customHeight="1">
      <x:c r="A17" s="3"/>
      <x:c r="B17" s="3"/>
      <x:c r="C17" s="3"/>
      <x:c r="D17" s="3"/>
      <x:c r="E17" s="3"/>
      <x:c r="F17" s="3"/>
      <x:c r="G17" s="3"/>
      <x:c r="H17" s="3"/>
      <x:c r="I17" s="3"/>
      <x:c r="J17" s="3"/>
    </x:row>
    <x:row r="18" ht="25" customHeight="1">
      <x:c r="A18" s="3"/>
      <x:c r="B18" s="3"/>
      <x:c r="C18" s="3"/>
      <x:c r="D18" s="3"/>
      <x:c r="E18" s="3"/>
      <x:c r="F18" s="3"/>
      <x:c r="G18" s="3"/>
      <x:c r="H18" s="3"/>
      <x:c r="I18" s="3"/>
      <x:c r="J18" s="3"/>
    </x:row>
    <x:row r="19" ht="25" customHeight="1">
      <x:c r="A19" s="3"/>
      <x:c r="B19" s="3"/>
      <x:c r="C19" s="3"/>
      <x:c r="D19" s="3"/>
      <x:c r="E19" s="3"/>
      <x:c r="F19" s="3"/>
      <x:c r="G19" s="3"/>
      <x:c r="H19" s="3"/>
      <x:c r="I19" s="3"/>
      <x:c r="J19" s="3"/>
    </x:row>
    <x:row r="20" ht="25" customHeight="1">
      <x:c r="A20" s="3"/>
      <x:c r="B20" s="3"/>
      <x:c r="C20" s="3"/>
      <x:c r="D20" s="3"/>
      <x:c r="E20" s="3"/>
      <x:c r="F20" s="3"/>
      <x:c r="G20" s="3"/>
      <x:c r="H20" s="3"/>
      <x:c r="I20" s="3"/>
      <x:c r="J20" s="3"/>
    </x:row>
    <x:row r="21" ht="25" customHeight="1">
      <x:c r="A21" s="3"/>
      <x:c r="B21" s="3"/>
      <x:c r="C21" s="3"/>
      <x:c r="D21" s="3"/>
      <x:c r="E21" s="3"/>
      <x:c r="F21" s="3"/>
      <x:c r="G21" s="3"/>
      <x:c r="H21" s="3"/>
      <x:c r="I21" s="3"/>
      <x:c r="J21" s="3"/>
    </x:row>
    <x:row r="22" ht="25" customHeight="1">
      <x:c r="A22" s="3"/>
      <x:c r="B22" s="3"/>
      <x:c r="C22" s="3"/>
      <x:c r="D22" s="3"/>
      <x:c r="E22" s="3"/>
      <x:c r="F22" s="3"/>
      <x:c r="G22" s="3"/>
      <x:c r="H22" s="3"/>
      <x:c r="I22" s="3"/>
      <x:c r="J22" s="3"/>
    </x:row>
  </x:sheetData>
  <x:mergeCells>
    <x:mergeCell ref="A1:J2"/>
    <x:mergeCell ref="A3:J4"/>
  </x:mergeCells>
  <x:dataValidations count="1">
    <x:dataValidation type="list" sqref="H8:H9">
      <x:formula1>"Research,Draft,Sent,Agreed,Declined,Hold,Published"</x:formula1>
    </x:dataValidation>
  </x:dataValidations>
  <x:pageMargins left="0.7" right="0.7" top="0.75" bottom="0.75" header="0.3" footer="0.3"/>
  <x:tableParts count="1">
    <x:tablePart xmlns:r="http://schemas.openxmlformats.org/officeDocument/2006/relationships" r:id="Re668f363c3fd46dc"/>
  </x:tableParts>
</x:worksheet>
</file>

<file path=xl/worksheets/sheet11.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25" hidden="0" customWidth="1"/>
    <x:col min="2" max="2" width="62" hidden="0" customWidth="1"/>
    <x:col min="3" max="3" width="23" hidden="0" customWidth="1"/>
    <x:col min="4" max="4" width="23" hidden="0" customWidth="1"/>
    <x:col min="5" max="5" width="55" hidden="0" customWidth="1"/>
    <x:col min="6" max="6" width="25" hidden="0" customWidth="1"/>
    <x:col min="7" max="7" width="48" hidden="0" customWidth="1"/>
    <x:col min="8" max="8" width="25" hidden="0" customWidth="1"/>
  </x:cols>
  <x:sheetData>
    <x:row r="1" ht="25" customHeight="1">
      <x:c r="A1" s="7" t="str">
        <x:v>Campaign operations and issue log</x:v>
      </x:c>
      <x:c r="B1" s="4"/>
      <x:c r="C1" s="4"/>
      <x:c r="D1" s="4"/>
      <x:c r="E1" s="4"/>
      <x:c r="F1" s="4"/>
      <x:c r="G1" s="4"/>
      <x:c r="H1" s="4"/>
    </x:row>
    <x:row r="2" ht="25" customHeight="1">
      <x:c r="A2" s="4"/>
      <x:c r="B2" s="4"/>
      <x:c r="C2" s="4"/>
      <x:c r="D2" s="4"/>
      <x:c r="E2" s="4"/>
      <x:c r="F2" s="4"/>
      <x:c r="G2" s="4"/>
      <x:c r="H2" s="4"/>
    </x:row>
    <x:row r="3" ht="25" customHeight="1">
      <x:c r="A3" s="9" t="str">
        <x:v>Launch only after the campaign is checked. Every draft uses verified amounts, dates and current availability. Pledges are not the same as collected cash.</x:v>
      </x:c>
      <x:c r="B3" s="9"/>
      <x:c r="C3" s="9"/>
      <x:c r="D3" s="9"/>
      <x:c r="E3" s="9"/>
      <x:c r="F3" s="9"/>
      <x:c r="G3" s="9"/>
      <x:c r="H3" s="9"/>
    </x:row>
    <x:row r="4" ht="25" customHeight="1">
      <x:c r="A4" s="9"/>
      <x:c r="B4" s="9"/>
      <x:c r="C4" s="9"/>
      <x:c r="D4" s="9"/>
      <x:c r="E4" s="9"/>
      <x:c r="F4" s="9"/>
      <x:c r="G4" s="9"/>
      <x:c r="H4" s="9"/>
    </x:row>
    <x:row r="5" ht="25" customHeight="1">
      <x:c r="A5" s="3" t="str">
        <x:v>Selected case</x:v>
      </x:c>
      <x:c r="B5" s="17" t="str">
        <x:f>Start!B8</x:f>
        <x:v>Base</x:v>
      </x:c>
      <x:c r="C5" s="3"/>
      <x:c r="D5" s="3"/>
      <x:c r="E5" s="3"/>
      <x:c r="F5" s="3"/>
      <x:c r="G5" s="3"/>
      <x:c r="H5" s="3"/>
    </x:row>
    <x:row r="6" ht="25" customHeight="1">
      <x:c r="A6" s="3"/>
      <x:c r="B6" s="3"/>
      <x:c r="C6" s="3"/>
      <x:c r="D6" s="3"/>
      <x:c r="E6" s="3"/>
      <x:c r="F6" s="3"/>
      <x:c r="G6" s="3"/>
      <x:c r="H6" s="3"/>
    </x:row>
    <x:row r="7" ht="39" customHeight="1">
      <x:c r="A7" s="21" t="str">
        <x:v>Checkpoint</x:v>
      </x:c>
      <x:c r="B7" s="21" t="str">
        <x:v>Action</x:v>
      </x:c>
      <x:c r="C7" s="21" t="str">
        <x:v>Owner</x:v>
      </x:c>
      <x:c r="D7" s="21" t="str">
        <x:v>Evidence</x:v>
      </x:c>
      <x:c r="E7" s="21" t="str">
        <x:v>Status</x:v>
      </x:c>
      <x:c r="F7" s="21" t="str">
        <x:v>Next check</x:v>
      </x:c>
      <x:c r="G7" s="21" t="str">
        <x:v>Audience</x:v>
      </x:c>
      <x:c r="H7" s="21" t="str">
        <x:v>Suppression</x:v>
      </x:c>
    </x:row>
    <x:row r="8" ht="44" customHeight="1">
      <x:c r="A8" s="22" t="str">
        <x:v>Launch</x:v>
      </x:c>
      <x:c r="B8" s="23" t="str">
        <x:v>Verify live URL, prices, quantities and shipping</x:v>
      </x:c>
      <x:c r="C8" s="37" t="str">
        <x:v>Creator</x:v>
      </x:c>
      <x:c r="D8" s="37" t="str">
        <x:v>Paste live check</x:v>
      </x:c>
      <x:c r="E8" s="37" t="str">
        <x:v>Not started</x:v>
      </x:c>
      <x:c r="F8" s="37" t="str">
        <x:v>At launch</x:v>
      </x:c>
      <x:c r="G8" s="37" t="str">
        <x:v>Opted in launch list</x:v>
      </x:c>
      <x:c r="H8" s="52" t="str">
        <x:v>Suppress known backers from acquisition asks</x:v>
      </x:c>
    </x:row>
    <x:row r="9" ht="44" customHeight="1">
      <x:c r="A9" s="31" t="str">
        <x:v>First hour</x:v>
      </x:c>
      <x:c r="B9" s="32" t="str">
        <x:v>Check questions and broken links</x:v>
      </x:c>
      <x:c r="C9" s="38" t="str">
        <x:v>Support</x:v>
      </x:c>
      <x:c r="D9" s="38" t="str">
        <x:v>Issue log</x:v>
      </x:c>
      <x:c r="E9" s="38" t="str">
        <x:v>Not started</x:v>
      </x:c>
      <x:c r="F9" s="38" t="str">
        <x:v>After first replies</x:v>
      </x:c>
      <x:c r="G9" s="38" t="str">
        <x:v>Relevant audience</x:v>
      </x:c>
      <x:c r="H9" s="56" t="str">
        <x:v>No duplicate send</x:v>
      </x:c>
    </x:row>
    <x:row r="10" ht="44" customHeight="1">
      <x:c r="A10" s="25" t="str">
        <x:v>Daily</x:v>
      </x:c>
      <x:c r="B10" s="26" t="str">
        <x:v>Record source snapshots and unresolved issues</x:v>
      </x:c>
      <x:c r="C10" s="38" t="str">
        <x:v>Creator</x:v>
      </x:c>
      <x:c r="D10" s="38" t="str">
        <x:v>Dashboard export date</x:v>
      </x:c>
      <x:c r="E10" s="38" t="str">
        <x:v>Not started</x:v>
      </x:c>
      <x:c r="F10" s="38" t="str">
        <x:v>Next working day</x:v>
      </x:c>
      <x:c r="G10" s="38" t="str">
        <x:v>Backers for project updates</x:v>
      </x:c>
      <x:c r="H10" s="56" t="str">
        <x:v>Newsletter permission remains separate</x:v>
      </x:c>
    </x:row>
    <x:row r="11" ht="44" customHeight="1">
      <x:c r="A11" s="31" t="str">
        <x:v>Final 48 hours</x:v>
      </x:c>
      <x:c r="B11" s="32" t="str">
        <x:v>Verify deadline timezone and capacity</x:v>
      </x:c>
      <x:c r="C11" s="38" t="str">
        <x:v>Creator</x:v>
      </x:c>
      <x:c r="D11" s="38" t="str">
        <x:v>Current platform deadline</x:v>
      </x:c>
      <x:c r="E11" s="38" t="str">
        <x:v>Not started</x:v>
      </x:c>
      <x:c r="F11" s="38" t="str">
        <x:v>Before reminder</x:v>
      </x:c>
      <x:c r="G11" s="38" t="str">
        <x:v>Relevant subscribers</x:v>
      </x:c>
      <x:c r="H11" s="56" t="str">
        <x:v>Suppress known backers from pledge reminder</x:v>
      </x:c>
    </x:row>
    <x:row r="12" ht="44" customHeight="1">
      <x:c r="A12" s="25" t="str">
        <x:v>Close</x:v>
      </x:c>
      <x:c r="B12" s="26" t="str">
        <x:v>Reconcile funded or unsuccessful outcome</x:v>
      </x:c>
      <x:c r="C12" s="38" t="str">
        <x:v>Creator</x:v>
      </x:c>
      <x:c r="D12" s="38" t="str">
        <x:v>Final platform status</x:v>
      </x:c>
      <x:c r="E12" s="38" t="str">
        <x:v>Not started</x:v>
      </x:c>
      <x:c r="F12" s="38" t="str">
        <x:v>After close</x:v>
      </x:c>
      <x:c r="G12" s="38" t="str">
        <x:v>Backers and opted in subscribers</x:v>
      </x:c>
      <x:c r="H12" s="56" t="str">
        <x:v>Use matching outcome draft</x:v>
      </x:c>
    </x:row>
    <x:row r="13" ht="44" customHeight="1">
      <x:c r="A13" s="44" t="str">
        <x:v>After close</x:v>
      </x:c>
      <x:c r="B13" s="45" t="str">
        <x:v>Publish the next dated production update</x:v>
      </x:c>
      <x:c r="C13" s="39" t="str">
        <x:v>Operations</x:v>
      </x:c>
      <x:c r="D13" s="39" t="str">
        <x:v>Approved handoff</x:v>
      </x:c>
      <x:c r="E13" s="39" t="str">
        <x:v>Not started</x:v>
      </x:c>
      <x:c r="F13" s="39" t="str">
        <x:v>Date you can meet</x:v>
      </x:c>
      <x:c r="G13" s="39" t="str">
        <x:v>Project backers</x:v>
      </x:c>
      <x:c r="H13" s="54" t="str">
        <x:v>Use required project communication channels</x:v>
      </x:c>
    </x:row>
    <x:row r="14" ht="25" customHeight="1">
      <x:c r="A14" s="3"/>
      <x:c r="B14" s="3"/>
      <x:c r="C14" s="3"/>
      <x:c r="D14" s="3"/>
      <x:c r="E14" s="3"/>
      <x:c r="F14" s="3"/>
      <x:c r="G14" s="3"/>
      <x:c r="H14" s="3"/>
    </x:row>
    <x:row r="15" ht="25" customHeight="1">
      <x:c r="A15" s="3"/>
      <x:c r="B15" s="3"/>
      <x:c r="C15" s="3"/>
      <x:c r="D15" s="3"/>
      <x:c r="E15" s="3"/>
      <x:c r="F15" s="3"/>
      <x:c r="G15" s="3"/>
      <x:c r="H15" s="3"/>
    </x:row>
    <x:row r="16" ht="25" customHeight="1">
      <x:c r="A16" s="3"/>
      <x:c r="B16" s="3"/>
      <x:c r="C16" s="3"/>
      <x:c r="D16" s="3"/>
      <x:c r="E16" s="3"/>
      <x:c r="F16" s="3"/>
      <x:c r="G16" s="3"/>
      <x:c r="H16" s="3"/>
    </x:row>
    <x:row r="17" ht="39" customHeight="1">
      <x:c r="A17" s="21" t="str">
        <x:v>Date and timezone</x:v>
      </x:c>
      <x:c r="B17" s="21" t="str">
        <x:v>Issue or question</x:v>
      </x:c>
      <x:c r="C17" s="21" t="str">
        <x:v>Severity</x:v>
      </x:c>
      <x:c r="D17" s="21" t="str">
        <x:v>Owner</x:v>
      </x:c>
      <x:c r="E17" s="21" t="str">
        <x:v>Action</x:v>
      </x:c>
      <x:c r="F17" s="21" t="str">
        <x:v>Due</x:v>
      </x:c>
      <x:c r="G17" s="21" t="str">
        <x:v>Evidence</x:v>
      </x:c>
      <x:c r="H17" s="21" t="str">
        <x:v>State</x:v>
      </x:c>
    </x:row>
    <x:row r="18" ht="44" customHeight="1">
      <x:c r="A18" s="51" t="str">
        <x:v>Enter date and timezone</x:v>
      </x:c>
      <x:c r="B18" s="37" t="str">
        <x:v>Enter a real observed issue</x:v>
      </x:c>
      <x:c r="C18" s="37" t="str">
        <x:v>Choose impact</x:v>
      </x:c>
      <x:c r="D18" s="37" t="str">
        <x:v>Name owner</x:v>
      </x:c>
      <x:c r="E18" s="37" t="str">
        <x:v>Specific next action</x:v>
      </x:c>
      <x:c r="F18" s="37" t="str">
        <x:v>Choose due date</x:v>
      </x:c>
      <x:c r="G18" s="37" t="str">
        <x:v>Link or receipt</x:v>
      </x:c>
      <x:c r="H18" s="52" t="str">
        <x:v>Open</x:v>
      </x:c>
    </x:row>
    <x:row r="19" ht="44" customHeight="1">
      <x:c r="A19" s="53" t="str">
        <x:v>Enter date and timezone</x:v>
      </x:c>
      <x:c r="B19" s="39" t="str">
        <x:v>Enter a real observed issue</x:v>
      </x:c>
      <x:c r="C19" s="39" t="str">
        <x:v>Choose impact</x:v>
      </x:c>
      <x:c r="D19" s="39" t="str">
        <x:v>Name owner</x:v>
      </x:c>
      <x:c r="E19" s="39" t="str">
        <x:v>Specific next action</x:v>
      </x:c>
      <x:c r="F19" s="39" t="str">
        <x:v>Choose due date</x:v>
      </x:c>
      <x:c r="G19" s="39" t="str">
        <x:v>Link or receipt</x:v>
      </x:c>
      <x:c r="H19" s="54" t="str">
        <x:v>Open</x:v>
      </x:c>
    </x:row>
    <x:row r="20" ht="25" customHeight="1">
      <x:c r="A20" s="3"/>
      <x:c r="B20" s="3"/>
      <x:c r="C20" s="3"/>
      <x:c r="D20" s="3"/>
      <x:c r="E20" s="3"/>
      <x:c r="F20" s="3"/>
      <x:c r="G20" s="3"/>
      <x:c r="H20" s="3"/>
    </x:row>
    <x:row r="21" ht="25" customHeight="1">
      <x:c r="A21" s="3"/>
      <x:c r="B21" s="3"/>
      <x:c r="C21" s="3"/>
      <x:c r="D21" s="3"/>
      <x:c r="E21" s="3"/>
      <x:c r="F21" s="3"/>
      <x:c r="G21" s="3"/>
      <x:c r="H21" s="3"/>
    </x:row>
    <x:row r="22" ht="25" customHeight="1">
      <x:c r="A22" s="3"/>
      <x:c r="B22" s="3"/>
      <x:c r="C22" s="3"/>
      <x:c r="D22" s="3"/>
      <x:c r="E22" s="3"/>
      <x:c r="F22" s="3"/>
      <x:c r="G22" s="3"/>
      <x:c r="H22" s="3"/>
    </x:row>
    <x:row r="23" ht="25" customHeight="1">
      <x:c r="A23" s="3"/>
      <x:c r="B23" s="3"/>
      <x:c r="C23" s="3"/>
      <x:c r="D23" s="3"/>
      <x:c r="E23" s="3"/>
      <x:c r="F23" s="3"/>
      <x:c r="G23" s="3"/>
      <x:c r="H23" s="3"/>
    </x:row>
    <x:row r="24" ht="25" customHeight="1">
      <x:c r="A24" s="3"/>
      <x:c r="B24" s="3"/>
      <x:c r="C24" s="3"/>
      <x:c r="D24" s="3"/>
      <x:c r="E24" s="3"/>
      <x:c r="F24" s="3"/>
      <x:c r="G24" s="3"/>
      <x:c r="H24" s="3"/>
    </x:row>
    <x:row r="25" ht="25" customHeight="1">
      <x:c r="A25" s="3"/>
      <x:c r="B25" s="3"/>
      <x:c r="C25" s="3"/>
      <x:c r="D25" s="3"/>
      <x:c r="E25" s="3"/>
      <x:c r="F25" s="3"/>
      <x:c r="G25" s="3"/>
      <x:c r="H25" s="3"/>
    </x:row>
    <x:row r="26" ht="25" customHeight="1">
      <x:c r="A26" s="3"/>
      <x:c r="B26" s="3"/>
      <x:c r="C26" s="3"/>
      <x:c r="D26" s="3"/>
      <x:c r="E26" s="3"/>
      <x:c r="F26" s="3"/>
      <x:c r="G26" s="3"/>
      <x:c r="H26" s="3"/>
    </x:row>
    <x:row r="27" ht="25" customHeight="1">
      <x:c r="A27" s="3"/>
      <x:c r="B27" s="3"/>
      <x:c r="C27" s="3"/>
      <x:c r="D27" s="3"/>
      <x:c r="E27" s="3"/>
      <x:c r="F27" s="3"/>
      <x:c r="G27" s="3"/>
      <x:c r="H27" s="3"/>
    </x:row>
  </x:sheetData>
  <x:mergeCells>
    <x:mergeCell ref="A1:H2"/>
    <x:mergeCell ref="A3:H4"/>
  </x:mergeCells>
  <x:pageMargins left="0.7" right="0.7" top="0.75" bottom="0.75" header="0.3" footer="0.3"/>
  <x:tableParts count="2">
    <x:tablePart xmlns:r="http://schemas.openxmlformats.org/officeDocument/2006/relationships" r:id="Rf7b8a7843e1e45ee"/>
    <x:tablePart xmlns:r="http://schemas.openxmlformats.org/officeDocument/2006/relationships" r:id="R8c74461107934488"/>
  </x:tableParts>
</x:worksheet>
</file>

<file path=xl/worksheets/sheet12.xml><?xml version="1.0" encoding="utf-8"?>
<x:worksheet xmlns:x="http://schemas.openxmlformats.org/spreadsheetml/2006/main">
  <x:sheetPr>
    <x:tabColor rgb="FF165B55"/>
  </x:sheetPr>
  <x:sheetViews>
    <x:sheetView showGridLines="0" workbookViewId="0">
      <x:pane ySplit="6" topLeftCell="A7" activePane="bottomLeft" state="frozen"/>
    </x:sheetView>
  </x:sheetViews>
  <x:sheetFormatPr defaultRowHeight="15"/>
  <x:cols>
    <x:col min="1" max="1" width="13" hidden="0" customWidth="1"/>
    <x:col min="2" max="2" width="23" hidden="0" customWidth="1"/>
    <x:col min="3" max="3" width="39" hidden="0" customWidth="1"/>
    <x:col min="4" max="4" width="23" hidden="0" customWidth="1"/>
    <x:col min="5" max="5" width="64" hidden="0" customWidth="1"/>
    <x:col min="6" max="6" width="25" hidden="0" customWidth="1"/>
    <x:col min="7" max="7" width="25" hidden="0" customWidth="1"/>
    <x:col min="8" max="8" width="24" hidden="0" customWidth="1"/>
    <x:col min="9" max="9" width="56" hidden="0" customWidth="1"/>
  </x:cols>
  <x:sheetData>
    <x:row r="1" ht="25" customHeight="1">
      <x:c r="A1" s="7" t="str">
        <x:v>Production and fulfillment handoff</x:v>
      </x:c>
      <x:c r="B1" s="4"/>
      <x:c r="C1" s="4"/>
      <x:c r="D1" s="4"/>
      <x:c r="E1" s="4"/>
      <x:c r="F1" s="4"/>
      <x:c r="G1" s="4"/>
      <x:c r="H1" s="4"/>
      <x:c r="I1" s="4"/>
    </x:row>
    <x:row r="2" ht="25" customHeight="1">
      <x:c r="A2" s="4"/>
      <x:c r="B2" s="4"/>
      <x:c r="C2" s="4"/>
      <x:c r="D2" s="4"/>
      <x:c r="E2" s="4"/>
      <x:c r="F2" s="4"/>
      <x:c r="G2" s="4"/>
      <x:c r="H2" s="4"/>
      <x:c r="I2" s="4"/>
    </x:row>
    <x:row r="3" ht="25" customHeight="1">
      <x:c r="A3" s="9" t="str">
        <x:v>Record an approved sample and the exact version used. Do not share customer addresses in this reusable workbook. Keep personal data in the selected fulfillment system.</x:v>
      </x:c>
      <x:c r="B3" s="9"/>
      <x:c r="C3" s="9"/>
      <x:c r="D3" s="9"/>
      <x:c r="E3" s="9"/>
      <x:c r="F3" s="9"/>
      <x:c r="G3" s="9"/>
      <x:c r="H3" s="9"/>
      <x:c r="I3" s="9"/>
    </x:row>
    <x:row r="4" ht="25" customHeight="1">
      <x:c r="A4" s="9"/>
      <x:c r="B4" s="9"/>
      <x:c r="C4" s="9"/>
      <x:c r="D4" s="9"/>
      <x:c r="E4" s="9"/>
      <x:c r="F4" s="9"/>
      <x:c r="G4" s="9"/>
      <x:c r="H4" s="9"/>
      <x:c r="I4" s="9"/>
    </x:row>
    <x:row r="5" ht="25" customHeight="1">
      <x:c r="A5" s="3" t="str">
        <x:v>Selected case</x:v>
      </x:c>
      <x:c r="B5" s="17" t="str">
        <x:f>Start!B8</x:f>
        <x:v>Base</x:v>
      </x:c>
      <x:c r="C5" s="3"/>
      <x:c r="D5" s="3"/>
      <x:c r="E5" s="3"/>
      <x:c r="F5" s="3"/>
      <x:c r="G5" s="3"/>
      <x:c r="H5" s="3"/>
      <x:c r="I5" s="3"/>
    </x:row>
    <x:row r="6" ht="25" customHeight="1">
      <x:c r="A6" s="3"/>
      <x:c r="B6" s="3"/>
      <x:c r="C6" s="3"/>
      <x:c r="D6" s="3"/>
      <x:c r="E6" s="3"/>
      <x:c r="F6" s="3"/>
      <x:c r="G6" s="3"/>
      <x:c r="H6" s="3"/>
      <x:c r="I6" s="3"/>
    </x:row>
    <x:row r="7" ht="39" customHeight="1">
      <x:c r="A7" s="21" t="str">
        <x:v>ID</x:v>
      </x:c>
      <x:c r="B7" s="21" t="str">
        <x:v>Workstream</x:v>
      </x:c>
      <x:c r="C7" s="21" t="str">
        <x:v>Deliverable</x:v>
      </x:c>
      <x:c r="D7" s="21" t="str">
        <x:v>Owner</x:v>
      </x:c>
      <x:c r="E7" s="21" t="str">
        <x:v>Acceptance evidence</x:v>
      </x:c>
      <x:c r="F7" s="21" t="str">
        <x:v>When</x:v>
      </x:c>
      <x:c r="G7" s="21" t="str">
        <x:v>Status</x:v>
      </x:c>
      <x:c r="H7" s="21" t="str">
        <x:v>Dependency</x:v>
      </x:c>
      <x:c r="I7" s="21" t="str">
        <x:v>Next action</x:v>
      </x:c>
    </x:row>
    <x:row r="8" ht="44" customHeight="1">
      <x:c r="A8" s="22" t="str">
        <x:v>P01</x:v>
      </x:c>
      <x:c r="B8" s="23" t="str">
        <x:v>Product</x:v>
      </x:c>
      <x:c r="C8" s="23" t="str">
        <x:v>SKU and reward mapping</x:v>
      </x:c>
      <x:c r="D8" s="37" t="str">
        <x:v>Operations</x:v>
      </x:c>
      <x:c r="E8" s="37" t="str">
        <x:v>Approved component list and tier mapping</x:v>
      </x:c>
      <x:c r="F8" s="37" t="str">
        <x:v>Before order</x:v>
      </x:c>
      <x:c r="G8" s="37" t="str">
        <x:v>Not confirmed</x:v>
      </x:c>
      <x:c r="H8" s="37" t="str">
        <x:v>None</x:v>
      </x:c>
      <x:c r="I8" s="52" t="str">
        <x:v>Confirm every included item</x:v>
      </x:c>
    </x:row>
    <x:row r="9" ht="44" customHeight="1">
      <x:c r="A9" s="31" t="str">
        <x:v>P02</x:v>
      </x:c>
      <x:c r="B9" s="32" t="str">
        <x:v>Files</x:v>
      </x:c>
      <x:c r="C9" s="32" t="str">
        <x:v>Print or sculpt files version</x:v>
      </x:c>
      <x:c r="D9" s="38" t="str">
        <x:v>Creative</x:v>
      </x:c>
      <x:c r="E9" s="38" t="str">
        <x:v>Link named export with date and rights record</x:v>
      </x:c>
      <x:c r="F9" s="38" t="str">
        <x:v>Before proof</x:v>
      </x:c>
      <x:c r="G9" s="38" t="str">
        <x:v>Not confirmed</x:v>
      </x:c>
      <x:c r="H9" s="38" t="str">
        <x:v>P01</x:v>
      </x:c>
      <x:c r="I9" s="56" t="str">
        <x:v>Confirm fonts, bleed, scale or supports</x:v>
      </x:c>
    </x:row>
    <x:row r="10" ht="44" customHeight="1">
      <x:c r="A10" s="25" t="str">
        <x:v>P03</x:v>
      </x:c>
      <x:c r="B10" s="26" t="str">
        <x:v>Sample</x:v>
      </x:c>
      <x:c r="C10" s="26" t="str">
        <x:v>Proof and signed sample</x:v>
      </x:c>
      <x:c r="D10" s="38" t="str">
        <x:v>Creator</x:v>
      </x:c>
      <x:c r="E10" s="38" t="str">
        <x:v>Physical or digital test and written approval</x:v>
      </x:c>
      <x:c r="F10" s="38" t="str">
        <x:v>Before balance</x:v>
      </x:c>
      <x:c r="G10" s="38" t="str">
        <x:v>Not confirmed</x:v>
      </x:c>
      <x:c r="H10" s="38" t="str">
        <x:v>P02</x:v>
      </x:c>
      <x:c r="I10" s="56" t="str">
        <x:v>Record defects and acceptance</x:v>
      </x:c>
    </x:row>
    <x:row r="11" ht="44" customHeight="1">
      <x:c r="A11" s="31" t="str">
        <x:v>P04</x:v>
      </x:c>
      <x:c r="B11" s="32" t="str">
        <x:v>Quality</x:v>
      </x:c>
      <x:c r="C11" s="32" t="str">
        <x:v>Inspection criteria</x:v>
      </x:c>
      <x:c r="D11" s="38" t="str">
        <x:v>Operations</x:v>
      </x:c>
      <x:c r="E11" s="38" t="str">
        <x:v>Counts, dimensions, finish and damage criteria</x:v>
      </x:c>
      <x:c r="F11" s="38" t="str">
        <x:v>Before production</x:v>
      </x:c>
      <x:c r="G11" s="38" t="str">
        <x:v>Not confirmed</x:v>
      </x:c>
      <x:c r="H11" s="38" t="str">
        <x:v>P03</x:v>
      </x:c>
      <x:c r="I11" s="56" t="str">
        <x:v>Agree rework responsibility</x:v>
      </x:c>
    </x:row>
    <x:row r="12" ht="44" customHeight="1">
      <x:c r="A12" s="25" t="str">
        <x:v>P05</x:v>
      </x:c>
      <x:c r="B12" s="26" t="str">
        <x:v>Order</x:v>
      </x:c>
      <x:c r="C12" s="26" t="str">
        <x:v>Quantity and spare stock</x:v>
      </x:c>
      <x:c r="D12" s="38" t="str">
        <x:v>Operations</x:v>
      </x:c>
      <x:c r="E12" s="38" t="str">
        <x:v>Funding order quantity and quote scope</x:v>
      </x:c>
      <x:c r="F12" s="38" t="str">
        <x:v>Before deposit</x:v>
      </x:c>
      <x:c r="G12" s="38" t="str">
        <x:v>Not confirmed</x:v>
      </x:c>
      <x:c r="H12" s="38" t="str">
        <x:v>P01</x:v>
      </x:c>
      <x:c r="I12" s="56" t="str">
        <x:v>Confirm cash before commitment</x:v>
      </x:c>
    </x:row>
    <x:row r="13" ht="44" customHeight="1">
      <x:c r="A13" s="31" t="str">
        <x:v>P06</x:v>
      </x:c>
      <x:c r="B13" s="32" t="str">
        <x:v>Packout</x:v>
      </x:c>
      <x:c r="C13" s="32" t="str">
        <x:v>Parcel and carton specification</x:v>
      </x:c>
      <x:c r="D13" s="38" t="str">
        <x:v>Fulfillment</x:v>
      </x:c>
      <x:c r="E13" s="38" t="str">
        <x:v>Photo and weight of complete test parcel</x:v>
      </x:c>
      <x:c r="F13" s="38" t="str">
        <x:v>Before freight</x:v>
      </x:c>
      <x:c r="G13" s="38" t="str">
        <x:v>Not confirmed</x:v>
      </x:c>
      <x:c r="H13" s="38" t="str">
        <x:v>P03</x:v>
      </x:c>
      <x:c r="I13" s="56" t="str">
        <x:v>Confirm bundle parcel costs</x:v>
      </x:c>
    </x:row>
    <x:row r="14" ht="44" customHeight="1">
      <x:c r="A14" s="25" t="str">
        <x:v>P07</x:v>
      </x:c>
      <x:c r="B14" s="26" t="str">
        <x:v>Tax</x:v>
      </x:c>
      <x:c r="C14" s="26" t="str">
        <x:v>Shipping and tax plan</x:v>
      </x:c>
      <x:c r="D14" s="38" t="str">
        <x:v>Creator</x:v>
      </x:c>
      <x:c r="E14" s="38" t="str">
        <x:v>Provider settings and jurisdiction review</x:v>
      </x:c>
      <x:c r="F14" s="38" t="str">
        <x:v>Before survey</x:v>
      </x:c>
      <x:c r="G14" s="38" t="str">
        <x:v>Not confirmed</x:v>
      </x:c>
      <x:c r="H14" s="38" t="str">
        <x:v>P06</x:v>
      </x:c>
      <x:c r="I14" s="56" t="str">
        <x:v>State later charges clearly</x:v>
      </x:c>
    </x:row>
    <x:row r="15" ht="44" customHeight="1">
      <x:c r="A15" s="31" t="str">
        <x:v>P08</x:v>
      </x:c>
      <x:c r="B15" s="32" t="str">
        <x:v>Addresses</x:v>
      </x:c>
      <x:c r="C15" s="32" t="str">
        <x:v>Survey and address lock</x:v>
      </x:c>
      <x:c r="D15" s="38" t="str">
        <x:v>Fulfillment</x:v>
      </x:c>
      <x:c r="E15" s="38" t="str">
        <x:v>System date and reminder plan</x:v>
      </x:c>
      <x:c r="F15" s="38" t="str">
        <x:v>Before labels</x:v>
      </x:c>
      <x:c r="G15" s="38" t="str">
        <x:v>Not confirmed</x:v>
      </x:c>
      <x:c r="H15" s="38" t="str">
        <x:v>P07</x:v>
      </x:c>
      <x:c r="I15" s="56" t="str">
        <x:v>Restrict access to personal data</x:v>
      </x:c>
    </x:row>
    <x:row r="16" ht="44" customHeight="1">
      <x:c r="A16" s="25" t="str">
        <x:v>P09</x:v>
      </x:c>
      <x:c r="B16" s="26" t="str">
        <x:v>Test shipment</x:v>
      </x:c>
      <x:c r="C16" s="26" t="str">
        <x:v>Pilot parcel</x:v>
      </x:c>
      <x:c r="D16" s="38" t="str">
        <x:v>Fulfillment</x:v>
      </x:c>
      <x:c r="E16" s="38" t="str">
        <x:v>Tracking and contents verified</x:v>
      </x:c>
      <x:c r="F16" s="38" t="str">
        <x:v>Before batch</x:v>
      </x:c>
      <x:c r="G16" s="38" t="str">
        <x:v>Not confirmed</x:v>
      </x:c>
      <x:c r="H16" s="38" t="str">
        <x:v>P06 P08</x:v>
      </x:c>
      <x:c r="I16" s="56" t="str">
        <x:v>Fix packing or label errors</x:v>
      </x:c>
    </x:row>
    <x:row r="17" ht="44" customHeight="1">
      <x:c r="A17" s="31" t="str">
        <x:v>P10</x:v>
      </x:c>
      <x:c r="B17" s="32" t="str">
        <x:v>Support</x:v>
      </x:c>
      <x:c r="C17" s="32" t="str">
        <x:v>Missing and damaged rewards</x:v>
      </x:c>
      <x:c r="D17" s="38" t="str">
        <x:v>Support</x:v>
      </x:c>
      <x:c r="E17" s="38" t="str">
        <x:v>Owner, reserve stock and response template</x:v>
      </x:c>
      <x:c r="F17" s="38" t="str">
        <x:v>Before dispatch</x:v>
      </x:c>
      <x:c r="G17" s="38" t="str">
        <x:v>Not confirmed</x:v>
      </x:c>
      <x:c r="H17" s="38" t="str">
        <x:v>P09</x:v>
      </x:c>
      <x:c r="I17" s="56" t="str">
        <x:v>Publish how backers contact you</x:v>
      </x:c>
    </x:row>
    <x:row r="18" ht="44" customHeight="1">
      <x:c r="A18" s="25" t="str">
        <x:v>P11</x:v>
      </x:c>
      <x:c r="B18" s="26" t="str">
        <x:v>Digital</x:v>
      </x:c>
      <x:c r="C18" s="26" t="str">
        <x:v>Digital files and access test</x:v>
      </x:c>
      <x:c r="D18" s="38" t="str">
        <x:v>Creator</x:v>
      </x:c>
      <x:c r="E18" s="38" t="str">
        <x:v>Test download and license text</x:v>
      </x:c>
      <x:c r="F18" s="38" t="str">
        <x:v>Before delivery</x:v>
      </x:c>
      <x:c r="G18" s="38" t="str">
        <x:v>Not confirmed</x:v>
      </x:c>
      <x:c r="H18" s="38" t="str">
        <x:v>P02</x:v>
      </x:c>
      <x:c r="I18" s="56" t="str">
        <x:v>Use zero physical units for digital tier</x:v>
      </x:c>
    </x:row>
    <x:row r="19" ht="44" customHeight="1">
      <x:c r="A19" s="44" t="str">
        <x:v>P12</x:v>
      </x:c>
      <x:c r="B19" s="45" t="str">
        <x:v>Close</x:v>
      </x:c>
      <x:c r="C19" s="45" t="str">
        <x:v>Delivery and final reconciliation</x:v>
      </x:c>
      <x:c r="D19" s="39" t="str">
        <x:v>Creator</x:v>
      </x:c>
      <x:c r="E19" s="39" t="str">
        <x:v>Shipment / download evidence and cash record</x:v>
      </x:c>
      <x:c r="F19" s="39" t="str">
        <x:v>After delivery</x:v>
      </x:c>
      <x:c r="G19" s="39" t="str">
        <x:v>Not confirmed</x:v>
      </x:c>
      <x:c r="H19" s="39" t="str">
        <x:v>P10 P11</x:v>
      </x:c>
      <x:c r="I19" s="54" t="str">
        <x:v>Report exceptions honestly</x:v>
      </x:c>
    </x:row>
    <x:row r="20" ht="25" customHeight="1">
      <x:c r="A20" s="3"/>
      <x:c r="B20" s="3"/>
      <x:c r="C20" s="3"/>
      <x:c r="D20" s="3"/>
      <x:c r="E20" s="3"/>
      <x:c r="F20" s="3"/>
      <x:c r="G20" s="3"/>
      <x:c r="H20" s="3"/>
      <x:c r="I20" s="3"/>
    </x:row>
    <x:row r="21" ht="25" customHeight="1">
      <x:c r="A21" s="3"/>
      <x:c r="B21" s="3"/>
      <x:c r="C21" s="3"/>
      <x:c r="D21" s="3"/>
      <x:c r="E21" s="3"/>
      <x:c r="F21" s="3"/>
      <x:c r="G21" s="3"/>
      <x:c r="H21" s="3"/>
      <x:c r="I21" s="3"/>
    </x:row>
    <x:row r="22" ht="25" customHeight="1">
      <x:c r="A22" s="3"/>
      <x:c r="B22" s="3"/>
      <x:c r="C22" s="3"/>
      <x:c r="D22" s="3"/>
      <x:c r="E22" s="3"/>
      <x:c r="F22" s="3"/>
      <x:c r="G22" s="3"/>
      <x:c r="H22" s="3"/>
      <x:c r="I22" s="3"/>
    </x:row>
    <x:row r="23" ht="25" customHeight="1">
      <x:c r="A23" s="3"/>
      <x:c r="B23" s="3"/>
      <x:c r="C23" s="3"/>
      <x:c r="D23" s="3"/>
      <x:c r="E23" s="3"/>
      <x:c r="F23" s="3"/>
      <x:c r="G23" s="3"/>
      <x:c r="H23" s="3"/>
      <x:c r="I23" s="3"/>
    </x:row>
    <x:row r="24" ht="25" customHeight="1">
      <x:c r="A24" s="3"/>
      <x:c r="B24" s="3"/>
      <x:c r="C24" s="3"/>
      <x:c r="D24" s="3"/>
      <x:c r="E24" s="3"/>
      <x:c r="F24" s="3"/>
      <x:c r="G24" s="3"/>
      <x:c r="H24" s="3"/>
      <x:c r="I24" s="3"/>
    </x:row>
    <x:row r="25" ht="25" customHeight="1">
      <x:c r="A25" s="3"/>
      <x:c r="B25" s="3"/>
      <x:c r="C25" s="3"/>
      <x:c r="D25" s="3"/>
      <x:c r="E25" s="3"/>
      <x:c r="F25" s="3"/>
      <x:c r="G25" s="3"/>
      <x:c r="H25" s="3"/>
      <x:c r="I25" s="3"/>
    </x:row>
    <x:row r="26" ht="25" customHeight="1">
      <x:c r="A26" s="3"/>
      <x:c r="B26" s="3"/>
      <x:c r="C26" s="3"/>
      <x:c r="D26" s="3"/>
      <x:c r="E26" s="3"/>
      <x:c r="F26" s="3"/>
      <x:c r="G26" s="3"/>
      <x:c r="H26" s="3"/>
      <x:c r="I26" s="3"/>
    </x:row>
    <x:row r="27" ht="25" customHeight="1">
      <x:c r="A27" s="3"/>
      <x:c r="B27" s="3"/>
      <x:c r="C27" s="3"/>
      <x:c r="D27" s="3"/>
      <x:c r="E27" s="3"/>
      <x:c r="F27" s="3"/>
      <x:c r="G27" s="3"/>
      <x:c r="H27" s="3"/>
      <x:c r="I27" s="3"/>
    </x:row>
    <x:row r="28" ht="25" customHeight="1">
      <x:c r="A28" s="3"/>
      <x:c r="B28" s="3"/>
      <x:c r="C28" s="3"/>
      <x:c r="D28" s="3"/>
      <x:c r="E28" s="3"/>
      <x:c r="F28" s="3"/>
      <x:c r="G28" s="3"/>
      <x:c r="H28" s="3"/>
      <x:c r="I28" s="3"/>
    </x:row>
    <x:row r="29" ht="25" customHeight="1">
      <x:c r="A29" s="3"/>
      <x:c r="B29" s="3"/>
      <x:c r="C29" s="3"/>
      <x:c r="D29" s="3"/>
      <x:c r="E29" s="3"/>
      <x:c r="F29" s="3"/>
      <x:c r="G29" s="3"/>
      <x:c r="H29" s="3"/>
      <x:c r="I29" s="3"/>
    </x:row>
  </x:sheetData>
  <x:mergeCells>
    <x:mergeCell ref="A1:I2"/>
    <x:mergeCell ref="A3:I4"/>
  </x:mergeCells>
  <x:dataValidations count="1">
    <x:dataValidation type="list" sqref="G8:G19">
      <x:formula1>"Not confirmed,In progress,Blocked,Approved,Not applicable"</x:formula1>
    </x:dataValidation>
  </x:dataValidations>
  <x:pageMargins left="0.7" right="0.7" top="0.75" bottom="0.75" header="0.3" footer="0.3"/>
  <x:tableParts count="1">
    <x:tablePart xmlns:r="http://schemas.openxmlformats.org/officeDocument/2006/relationships" r:id="Rdf0737856aa34753"/>
  </x:tableParts>
</x:worksheet>
</file>